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/Desktop/Blerd/Data Analysis/Final Code for GitHub/"/>
    </mc:Choice>
  </mc:AlternateContent>
  <xr:revisionPtr revIDLastSave="0" documentId="13_ncr:1_{A8222A84-12F7-584C-AB18-2273387BF858}" xr6:coauthVersionLast="47" xr6:coauthVersionMax="47" xr10:uidLastSave="{00000000-0000-0000-0000-000000000000}"/>
  <bookViews>
    <workbookView xWindow="0" yWindow="780" windowWidth="34200" windowHeight="21360" activeTab="1" xr2:uid="{F0D7E868-6FDD-C44E-AB75-BB6215173542}"/>
  </bookViews>
  <sheets>
    <sheet name="BlerdData" sheetId="2" r:id="rId1"/>
    <sheet name="Sheet2" sheetId="4" r:id="rId2"/>
    <sheet name="MetaboliteAvgs" sheetId="5" r:id="rId3"/>
    <sheet name="Lining up CORT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5" l="1"/>
  <c r="M5" i="5"/>
  <c r="M6" i="5"/>
  <c r="M7" i="5"/>
  <c r="M8" i="5"/>
  <c r="M9" i="5"/>
  <c r="M10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7" i="5"/>
  <c r="M28" i="5"/>
  <c r="M29" i="5"/>
  <c r="M30" i="5"/>
  <c r="M31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6" i="5"/>
  <c r="M67" i="5"/>
  <c r="M68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4" i="5"/>
  <c r="M85" i="5"/>
  <c r="M86" i="5"/>
  <c r="M87" i="5"/>
  <c r="M88" i="5"/>
  <c r="M89" i="5"/>
  <c r="M91" i="5"/>
  <c r="M93" i="5"/>
  <c r="M94" i="5"/>
  <c r="M95" i="5"/>
  <c r="M96" i="5"/>
  <c r="M97" i="5"/>
  <c r="M98" i="5"/>
  <c r="M99" i="5"/>
  <c r="J3" i="5"/>
  <c r="J4" i="5"/>
  <c r="J5" i="5"/>
  <c r="J6" i="5"/>
  <c r="J7" i="5"/>
  <c r="J8" i="5"/>
  <c r="J9" i="5"/>
  <c r="J10" i="5"/>
  <c r="J12" i="5"/>
  <c r="J13" i="5"/>
  <c r="J14" i="5"/>
  <c r="J15" i="5"/>
  <c r="J17" i="5"/>
  <c r="J18" i="5"/>
  <c r="J19" i="5"/>
  <c r="J20" i="5"/>
  <c r="J21" i="5"/>
  <c r="J22" i="5"/>
  <c r="J23" i="5"/>
  <c r="J24" i="5"/>
  <c r="J25" i="5"/>
  <c r="J27" i="5"/>
  <c r="J28" i="5"/>
  <c r="J29" i="5"/>
  <c r="J30" i="5"/>
  <c r="J31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6" i="5"/>
  <c r="J67" i="5"/>
  <c r="J68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9" i="5"/>
  <c r="J91" i="5"/>
  <c r="J92" i="5"/>
  <c r="J93" i="5"/>
  <c r="J94" i="5"/>
  <c r="J95" i="5"/>
  <c r="J96" i="5"/>
  <c r="J97" i="5"/>
  <c r="J98" i="5"/>
  <c r="J99" i="5"/>
  <c r="F3" i="5"/>
  <c r="F4" i="5"/>
  <c r="F5" i="5"/>
  <c r="F6" i="5"/>
  <c r="F7" i="5"/>
  <c r="F8" i="5"/>
  <c r="F9" i="5"/>
  <c r="F10" i="5"/>
  <c r="F12" i="5"/>
  <c r="F13" i="5"/>
  <c r="F14" i="5"/>
  <c r="F15" i="5"/>
  <c r="F17" i="5"/>
  <c r="F18" i="5"/>
  <c r="F19" i="5"/>
  <c r="F20" i="5"/>
  <c r="F21" i="5"/>
  <c r="F22" i="5"/>
  <c r="F23" i="5"/>
  <c r="F24" i="5"/>
  <c r="F25" i="5"/>
  <c r="F27" i="5"/>
  <c r="F28" i="5"/>
  <c r="F29" i="5"/>
  <c r="F30" i="5"/>
  <c r="F31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6" i="5"/>
  <c r="F67" i="5"/>
  <c r="F68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9" i="5"/>
  <c r="F91" i="5"/>
  <c r="F92" i="5"/>
  <c r="F93" i="5"/>
  <c r="F94" i="5"/>
  <c r="F95" i="5"/>
  <c r="F96" i="5"/>
  <c r="F97" i="5"/>
  <c r="F98" i="5"/>
  <c r="F99" i="5"/>
  <c r="F2" i="5"/>
  <c r="J2" i="5"/>
  <c r="M2" i="5"/>
  <c r="U76" i="5"/>
  <c r="Q76" i="5"/>
  <c r="X3" i="5"/>
  <c r="X5" i="5"/>
  <c r="X6" i="5"/>
  <c r="X7" i="5"/>
  <c r="X8" i="5"/>
  <c r="X9" i="5"/>
  <c r="X10" i="5"/>
  <c r="X11" i="5"/>
  <c r="X12" i="5"/>
  <c r="X15" i="5"/>
  <c r="X16" i="5"/>
  <c r="X17" i="5"/>
  <c r="X18" i="5"/>
  <c r="X19" i="5"/>
  <c r="X20" i="5"/>
  <c r="X21" i="5"/>
  <c r="X22" i="5"/>
  <c r="X24" i="5"/>
  <c r="X25" i="5"/>
  <c r="X26" i="5"/>
  <c r="X27" i="5"/>
  <c r="X29" i="5"/>
  <c r="X30" i="5"/>
  <c r="X32" i="5"/>
  <c r="X33" i="5"/>
  <c r="X34" i="5"/>
  <c r="X35" i="5"/>
  <c r="X36" i="5"/>
  <c r="X37" i="5"/>
  <c r="X38" i="5"/>
  <c r="X39" i="5"/>
  <c r="X40" i="5"/>
  <c r="X41" i="5"/>
  <c r="X42" i="5"/>
  <c r="X44" i="5"/>
  <c r="X45" i="5"/>
  <c r="X46" i="5"/>
  <c r="X48" i="5"/>
  <c r="X49" i="5"/>
  <c r="X50" i="5"/>
  <c r="X51" i="5"/>
  <c r="X52" i="5"/>
  <c r="X53" i="5"/>
  <c r="X54" i="5"/>
  <c r="X56" i="5"/>
  <c r="X57" i="5"/>
  <c r="X58" i="5"/>
  <c r="X60" i="5"/>
  <c r="X61" i="5"/>
  <c r="X62" i="5"/>
  <c r="X63" i="5"/>
  <c r="X64" i="5"/>
  <c r="X65" i="5"/>
  <c r="X67" i="5"/>
  <c r="X68" i="5"/>
  <c r="X69" i="5"/>
  <c r="X70" i="5"/>
  <c r="X71" i="5"/>
  <c r="X72" i="5"/>
  <c r="X73" i="5"/>
  <c r="X74" i="5"/>
  <c r="X75" i="5"/>
  <c r="X66" i="5"/>
  <c r="X77" i="5"/>
  <c r="X78" i="5"/>
  <c r="X79" i="5"/>
  <c r="X80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8" i="5"/>
  <c r="U49" i="5"/>
  <c r="U50" i="5"/>
  <c r="U51" i="5"/>
  <c r="U52" i="5"/>
  <c r="U53" i="5"/>
  <c r="U54" i="5"/>
  <c r="U55" i="5"/>
  <c r="U56" i="5"/>
  <c r="U57" i="5"/>
  <c r="U58" i="5"/>
  <c r="U60" i="5"/>
  <c r="U61" i="5"/>
  <c r="U62" i="5"/>
  <c r="U63" i="5"/>
  <c r="U64" i="5"/>
  <c r="U65" i="5"/>
  <c r="U67" i="5"/>
  <c r="U68" i="5"/>
  <c r="U69" i="5"/>
  <c r="U70" i="5"/>
  <c r="U71" i="5"/>
  <c r="U72" i="5"/>
  <c r="U73" i="5"/>
  <c r="U74" i="5"/>
  <c r="U75" i="5"/>
  <c r="U6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X2" i="5"/>
  <c r="U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7" i="5"/>
  <c r="Q68" i="5"/>
  <c r="Q69" i="5"/>
  <c r="Q70" i="5"/>
  <c r="Q71" i="5"/>
  <c r="Q72" i="5"/>
  <c r="Q73" i="5"/>
  <c r="Q74" i="5"/>
  <c r="Q75" i="5"/>
  <c r="Q6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tc={150C0D58-62C0-A14C-A063-1112E0AF074F}</author>
  </authors>
  <commentList>
    <comment ref="AG1" authorId="0" shapeId="0" xr:uid="{150C0D58-62C0-A14C-A063-1112E0AF074F}">
      <text>
        <t>[Threaded comment]
Your version of Excel allows you to read this threaded comment; however, any edits to it will get removed if the file is opened in a newer version of Excel. Learn more: https://go.microsoft.com/fwlink/?linkid=870924
Comment:
    4897 was ran, but there does not seem too be this ID in the master sheet</t>
      </text>
    </comment>
  </commentList>
</comments>
</file>

<file path=xl/sharedStrings.xml><?xml version="1.0" encoding="utf-8"?>
<sst xmlns="http://schemas.openxmlformats.org/spreadsheetml/2006/main" count="1482" uniqueCount="146">
  <si>
    <t>Sex</t>
  </si>
  <si>
    <t>Treatment</t>
  </si>
  <si>
    <t>Control</t>
  </si>
  <si>
    <t>Heat</t>
  </si>
  <si>
    <t>BirdID</t>
  </si>
  <si>
    <t>Room</t>
  </si>
  <si>
    <t>Incubator</t>
  </si>
  <si>
    <t>Side</t>
  </si>
  <si>
    <t>AccMass</t>
  </si>
  <si>
    <t>TreatDate</t>
  </si>
  <si>
    <t>DiedInTreat?</t>
  </si>
  <si>
    <t>M</t>
  </si>
  <si>
    <t>Poseiden</t>
  </si>
  <si>
    <t>Right</t>
  </si>
  <si>
    <t>Early</t>
  </si>
  <si>
    <t>F</t>
  </si>
  <si>
    <t>Left</t>
  </si>
  <si>
    <t>Hera</t>
  </si>
  <si>
    <t>Late</t>
  </si>
  <si>
    <t>Yes</t>
  </si>
  <si>
    <t>Zeus</t>
  </si>
  <si>
    <t>Artemis</t>
  </si>
  <si>
    <t>Aphrodite</t>
  </si>
  <si>
    <t>Apollo</t>
  </si>
  <si>
    <t>PreDate</t>
  </si>
  <si>
    <t>AccDate</t>
  </si>
  <si>
    <t>TreatGlucose1</t>
  </si>
  <si>
    <t>TreatGlucose2</t>
  </si>
  <si>
    <t>TreatGlucose3</t>
  </si>
  <si>
    <t>TreatGlucose4</t>
  </si>
  <si>
    <t>TreatKetone1</t>
  </si>
  <si>
    <t>TreatKetone2</t>
  </si>
  <si>
    <t>TreatKetone3</t>
  </si>
  <si>
    <t>PreCORT</t>
  </si>
  <si>
    <t>PostCORT</t>
  </si>
  <si>
    <t>NotesCORT</t>
  </si>
  <si>
    <t>Plate</t>
  </si>
  <si>
    <t>Undetectable, Value was: 1.07</t>
  </si>
  <si>
    <t>Undetectable, Value was: ???</t>
  </si>
  <si>
    <t>PreCORT was Undectable, value was: 13.642</t>
  </si>
  <si>
    <t>PreCORT was Undectable, value was 23.725</t>
  </si>
  <si>
    <t>PostCOTT Tube is labeled 4892, but this is ID 4882</t>
  </si>
  <si>
    <t>PreGlucose</t>
  </si>
  <si>
    <t>PostGlucose</t>
  </si>
  <si>
    <t>PreKetone</t>
  </si>
  <si>
    <t>PostKetone</t>
  </si>
  <si>
    <t>PreCORTRaw</t>
  </si>
  <si>
    <t>PostCORTRaw</t>
  </si>
  <si>
    <t>Time</t>
  </si>
  <si>
    <t>IntakeMass</t>
  </si>
  <si>
    <t>PreMass</t>
  </si>
  <si>
    <t>No</t>
  </si>
  <si>
    <t>ID</t>
  </si>
  <si>
    <t>IntakeTarsus</t>
  </si>
  <si>
    <t>PreDamage</t>
  </si>
  <si>
    <t>PostDate</t>
  </si>
  <si>
    <t>PostDamage</t>
  </si>
  <si>
    <t>AvgMaxTemp</t>
  </si>
  <si>
    <t>PITtagID</t>
  </si>
  <si>
    <t>PreHemo</t>
  </si>
  <si>
    <t>PostHemo</t>
  </si>
  <si>
    <t>PreG1</t>
  </si>
  <si>
    <t>PreG2</t>
  </si>
  <si>
    <t>PreG3</t>
  </si>
  <si>
    <t>PreK1</t>
  </si>
  <si>
    <t>PreK2</t>
  </si>
  <si>
    <t>PreK3</t>
  </si>
  <si>
    <t>PreKetones</t>
  </si>
  <si>
    <t>PreH1</t>
  </si>
  <si>
    <t>PreH2</t>
  </si>
  <si>
    <t>PreHCT</t>
  </si>
  <si>
    <t>76AE4</t>
  </si>
  <si>
    <t>BE994</t>
  </si>
  <si>
    <t>76AA7</t>
  </si>
  <si>
    <t>BE83B</t>
  </si>
  <si>
    <t>76AA5</t>
  </si>
  <si>
    <t>76AC0</t>
  </si>
  <si>
    <t>76AA1</t>
  </si>
  <si>
    <t>BE91B</t>
  </si>
  <si>
    <t>7723A</t>
  </si>
  <si>
    <t>76A96</t>
  </si>
  <si>
    <t>76ABF</t>
  </si>
  <si>
    <t>76ADC</t>
  </si>
  <si>
    <t>7724F</t>
  </si>
  <si>
    <t>BE93F</t>
  </si>
  <si>
    <t>76AC6</t>
  </si>
  <si>
    <t>76AE8</t>
  </si>
  <si>
    <t>75D3F</t>
  </si>
  <si>
    <t>BEEA8</t>
  </si>
  <si>
    <t>76A99</t>
  </si>
  <si>
    <t>BE8BF</t>
  </si>
  <si>
    <t>BEEDA</t>
  </si>
  <si>
    <t>75CF5</t>
  </si>
  <si>
    <t>76ADE</t>
  </si>
  <si>
    <t>76AC2</t>
  </si>
  <si>
    <t>BE8F8</t>
  </si>
  <si>
    <t>7725A</t>
  </si>
  <si>
    <t>75CFA</t>
  </si>
  <si>
    <t>BEB50</t>
  </si>
  <si>
    <t>75CF2</t>
  </si>
  <si>
    <t>75D09</t>
  </si>
  <si>
    <t>75D18</t>
  </si>
  <si>
    <t>BEE25</t>
  </si>
  <si>
    <t>75D04</t>
  </si>
  <si>
    <t>BEE2E</t>
  </si>
  <si>
    <t>75CE8</t>
  </si>
  <si>
    <t>75CF3</t>
  </si>
  <si>
    <t>75D27</t>
  </si>
  <si>
    <t>75D2F</t>
  </si>
  <si>
    <t>75CF4</t>
  </si>
  <si>
    <t>75D03</t>
  </si>
  <si>
    <t>75D22</t>
  </si>
  <si>
    <t>75CE2</t>
  </si>
  <si>
    <t>75D21</t>
  </si>
  <si>
    <t>75D1A</t>
  </si>
  <si>
    <t>75D12</t>
  </si>
  <si>
    <t>75D20</t>
  </si>
  <si>
    <t>75CF9</t>
  </si>
  <si>
    <t>BE831</t>
  </si>
  <si>
    <t>BE7D6</t>
  </si>
  <si>
    <t>BED43</t>
  </si>
  <si>
    <t>81DB1</t>
  </si>
  <si>
    <t>81FEO</t>
  </si>
  <si>
    <t>BEB63</t>
  </si>
  <si>
    <t>BE9B1</t>
  </si>
  <si>
    <t>BEC4F</t>
  </si>
  <si>
    <t>BE7C1</t>
  </si>
  <si>
    <t>BE911</t>
  </si>
  <si>
    <t>75CFB</t>
  </si>
  <si>
    <t>BEBF4</t>
  </si>
  <si>
    <t>BEC62</t>
  </si>
  <si>
    <t>PostH2</t>
  </si>
  <si>
    <t>PostH1</t>
  </si>
  <si>
    <t>PostKetones</t>
  </si>
  <si>
    <t>PostK3</t>
  </si>
  <si>
    <t>PostK2</t>
  </si>
  <si>
    <t>PostK1</t>
  </si>
  <si>
    <t>PostG3</t>
  </si>
  <si>
    <t>PostG2</t>
  </si>
  <si>
    <t>PostG1</t>
  </si>
  <si>
    <t>Dead</t>
  </si>
  <si>
    <t>Male</t>
  </si>
  <si>
    <t>Female</t>
  </si>
  <si>
    <t>Pre</t>
  </si>
  <si>
    <t>Post</t>
  </si>
  <si>
    <t>Dissection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</si>
</sst>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2"/>
      <color rgb="FF000000"/>
      <name val="Aptos Narrow"/>
      <family val="2"/>
      <scheme val="minor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" fontId="0" fillId="0" borderId="0" xfId="0" applyNumberFormat="1"/>
    <xf numFmtId="14" fontId="0" fillId="0" borderId="0" xfId="0" applyNumberFormat="1"/>
    <xf numFmtId="0" fontId="2" fillId="0" borderId="0" xfId="0" applyFont="1"/>
    <xf numFmtId="1" fontId="0" fillId="2" borderId="0" xfId="0" applyNumberFormat="1" applyFill="1"/>
    <xf numFmtId="0" fontId="0" fillId="3" borderId="0" xfId="0" applyFill="1"/>
    <xf numFmtId="2" fontId="0" fillId="0" borderId="0" xfId="0" applyNumberFormat="1"/>
    <xf numFmtId="1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n Haussmann" id="{7D83D0CA-0DA5-9E45-B42F-621F6F113989}" userId="S::bdh0075@auburn.edu::2b2af999-56b4-4936-a84c-dc7dcc3cb49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G1" dT="2025-06-08T20:11:53.32" personId="{7D83D0CA-0DA5-9E45-B42F-621F6F113989}" id="{150C0D58-62C0-A14C-A063-1112E0AF074F}">
    <text>4897 was ran, but there does not seem too be this ID in the master sheet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8FA1F-F03D-9F4F-A16B-FC7CF70136EB}">
  <dimension ref="A1:AG86"/>
  <sheetViews>
    <sheetView zoomScaleNormal="100" workbookViewId="0">
      <selection sqref="A1:C1048576"/>
    </sheetView>
  </sheetViews>
  <sheetFormatPr baseColWidth="10" defaultRowHeight="16" x14ac:dyDescent="0.2"/>
  <sheetData>
    <row r="1" spans="1:33" x14ac:dyDescent="0.2">
      <c r="A1" t="s">
        <v>4</v>
      </c>
      <c r="B1" t="s">
        <v>0</v>
      </c>
      <c r="C1" t="s">
        <v>1</v>
      </c>
      <c r="D1" t="s">
        <v>5</v>
      </c>
      <c r="E1" t="s">
        <v>6</v>
      </c>
      <c r="F1" t="s">
        <v>7</v>
      </c>
      <c r="G1" t="s">
        <v>24</v>
      </c>
      <c r="H1" t="s">
        <v>50</v>
      </c>
      <c r="I1" t="s">
        <v>42</v>
      </c>
      <c r="J1" t="s">
        <v>44</v>
      </c>
      <c r="K1" t="s">
        <v>33</v>
      </c>
      <c r="L1" t="s">
        <v>25</v>
      </c>
      <c r="M1" t="s">
        <v>8</v>
      </c>
      <c r="N1" t="s">
        <v>9</v>
      </c>
      <c r="O1" t="s">
        <v>48</v>
      </c>
      <c r="P1" t="s">
        <v>10</v>
      </c>
      <c r="Q1" s="2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47</v>
      </c>
      <c r="AE1" t="s">
        <v>34</v>
      </c>
      <c r="AF1" t="s">
        <v>36</v>
      </c>
      <c r="AG1" t="s">
        <v>35</v>
      </c>
    </row>
    <row r="2" spans="1:33" x14ac:dyDescent="0.2">
      <c r="A2">
        <v>4818</v>
      </c>
      <c r="B2" t="s">
        <v>11</v>
      </c>
      <c r="C2" t="s">
        <v>2</v>
      </c>
      <c r="D2">
        <v>112</v>
      </c>
      <c r="E2" t="s">
        <v>12</v>
      </c>
      <c r="F2" t="s">
        <v>13</v>
      </c>
      <c r="G2" s="3">
        <v>45719</v>
      </c>
      <c r="H2" s="3"/>
      <c r="I2" s="7">
        <v>237</v>
      </c>
      <c r="J2" s="7">
        <v>0.4</v>
      </c>
      <c r="K2">
        <v>1.4632455004539464</v>
      </c>
      <c r="L2" s="3">
        <v>45730</v>
      </c>
      <c r="M2">
        <v>17.39</v>
      </c>
      <c r="N2" s="3">
        <v>45733</v>
      </c>
      <c r="O2" t="s">
        <v>14</v>
      </c>
      <c r="P2" t="s">
        <v>51</v>
      </c>
      <c r="Q2" s="2">
        <v>209</v>
      </c>
      <c r="R2">
        <v>174</v>
      </c>
      <c r="U2">
        <v>0.4</v>
      </c>
      <c r="V2">
        <v>0.4</v>
      </c>
      <c r="X2">
        <v>237</v>
      </c>
      <c r="Y2" s="2">
        <v>191.5</v>
      </c>
      <c r="Z2">
        <v>0.4</v>
      </c>
      <c r="AA2">
        <v>0.4</v>
      </c>
      <c r="AB2">
        <v>1.5693874999999999</v>
      </c>
      <c r="AC2">
        <v>0.53481250000000002</v>
      </c>
      <c r="AE2">
        <v>0.49864165746925226</v>
      </c>
      <c r="AF2">
        <v>5</v>
      </c>
    </row>
    <row r="3" spans="1:33" x14ac:dyDescent="0.2">
      <c r="A3">
        <v>4843</v>
      </c>
      <c r="B3" t="s">
        <v>15</v>
      </c>
      <c r="C3" t="s">
        <v>2</v>
      </c>
      <c r="D3">
        <v>112</v>
      </c>
      <c r="E3" t="s">
        <v>12</v>
      </c>
      <c r="F3" t="s">
        <v>16</v>
      </c>
      <c r="G3" s="3">
        <v>45719</v>
      </c>
      <c r="H3" s="3"/>
      <c r="I3" s="7">
        <v>272</v>
      </c>
      <c r="J3" s="7">
        <v>0.5</v>
      </c>
      <c r="K3">
        <v>2.8256051713342223</v>
      </c>
      <c r="L3" s="3">
        <v>45730</v>
      </c>
      <c r="M3">
        <v>14.38</v>
      </c>
      <c r="N3" s="3">
        <v>45733</v>
      </c>
      <c r="O3" t="s">
        <v>14</v>
      </c>
      <c r="P3" t="s">
        <v>51</v>
      </c>
      <c r="Q3" s="2">
        <v>180</v>
      </c>
      <c r="R3">
        <v>167</v>
      </c>
      <c r="U3">
        <v>0.3</v>
      </c>
      <c r="X3">
        <v>272</v>
      </c>
      <c r="Y3" s="2">
        <v>173.5</v>
      </c>
      <c r="Z3">
        <v>0.5</v>
      </c>
      <c r="AA3">
        <v>0.3</v>
      </c>
      <c r="AB3">
        <v>2.7188750000000002</v>
      </c>
      <c r="AC3">
        <v>0.55113750000000006</v>
      </c>
      <c r="AE3">
        <v>0.57277255118981751</v>
      </c>
      <c r="AF3">
        <v>6</v>
      </c>
    </row>
    <row r="4" spans="1:33" x14ac:dyDescent="0.2">
      <c r="A4">
        <v>4869</v>
      </c>
      <c r="B4" t="s">
        <v>11</v>
      </c>
      <c r="C4" t="s">
        <v>3</v>
      </c>
      <c r="D4">
        <v>116</v>
      </c>
      <c r="E4" t="s">
        <v>17</v>
      </c>
      <c r="F4" t="s">
        <v>13</v>
      </c>
      <c r="G4" s="3">
        <v>45719</v>
      </c>
      <c r="H4" s="3"/>
      <c r="I4" s="7">
        <v>245.5</v>
      </c>
      <c r="J4" s="7">
        <v>0.5</v>
      </c>
      <c r="K4">
        <v>0.40142591818842699</v>
      </c>
      <c r="L4" s="3">
        <v>45730</v>
      </c>
      <c r="M4">
        <v>17.739999999999998</v>
      </c>
      <c r="N4" s="3">
        <v>45733</v>
      </c>
      <c r="O4" t="s">
        <v>18</v>
      </c>
      <c r="P4" t="s">
        <v>51</v>
      </c>
      <c r="Q4" s="2">
        <v>208</v>
      </c>
      <c r="R4">
        <v>209</v>
      </c>
      <c r="V4">
        <v>0.7</v>
      </c>
      <c r="W4">
        <v>0.8</v>
      </c>
      <c r="X4">
        <v>245.5</v>
      </c>
      <c r="Y4" s="2">
        <v>208.5</v>
      </c>
      <c r="Z4">
        <v>0.5</v>
      </c>
      <c r="AA4">
        <v>0.75</v>
      </c>
      <c r="AB4">
        <v>0.41552499999999998</v>
      </c>
      <c r="AC4">
        <v>2.6953874999999998</v>
      </c>
      <c r="AE4">
        <v>2.6039309357105074</v>
      </c>
      <c r="AF4">
        <v>4</v>
      </c>
    </row>
    <row r="5" spans="1:33" x14ac:dyDescent="0.2">
      <c r="A5">
        <v>4893</v>
      </c>
      <c r="B5" t="s">
        <v>15</v>
      </c>
      <c r="C5" t="s">
        <v>3</v>
      </c>
      <c r="D5">
        <v>116</v>
      </c>
      <c r="E5" t="s">
        <v>17</v>
      </c>
      <c r="F5" t="s">
        <v>16</v>
      </c>
      <c r="G5" s="3">
        <v>45719</v>
      </c>
      <c r="H5" s="3"/>
      <c r="I5" s="7">
        <v>218</v>
      </c>
      <c r="J5" s="7">
        <v>0.4</v>
      </c>
      <c r="K5">
        <v>0.19820754647413011</v>
      </c>
      <c r="L5" s="3">
        <v>45730</v>
      </c>
      <c r="M5">
        <v>15.66</v>
      </c>
      <c r="N5" s="3">
        <v>45733</v>
      </c>
      <c r="O5" t="s">
        <v>18</v>
      </c>
      <c r="P5" s="6" t="s">
        <v>19</v>
      </c>
      <c r="Q5" s="2"/>
      <c r="X5">
        <v>218</v>
      </c>
      <c r="Y5" s="2"/>
      <c r="Z5">
        <v>0.4</v>
      </c>
      <c r="AB5">
        <v>0.17155987471012674</v>
      </c>
      <c r="AF5">
        <v>2</v>
      </c>
    </row>
    <row r="6" spans="1:33" x14ac:dyDescent="0.2">
      <c r="A6">
        <v>4846</v>
      </c>
      <c r="B6" t="s">
        <v>15</v>
      </c>
      <c r="C6" t="s">
        <v>3</v>
      </c>
      <c r="D6">
        <v>112</v>
      </c>
      <c r="E6" t="s">
        <v>20</v>
      </c>
      <c r="F6" t="s">
        <v>16</v>
      </c>
      <c r="G6" s="3">
        <v>45720</v>
      </c>
      <c r="H6" s="3"/>
      <c r="I6" s="7">
        <v>221.5</v>
      </c>
      <c r="J6" s="7">
        <v>0.6</v>
      </c>
      <c r="K6">
        <v>1.1351128417890164</v>
      </c>
      <c r="L6" s="3">
        <v>45731</v>
      </c>
      <c r="M6">
        <v>14.6</v>
      </c>
      <c r="N6" s="3">
        <v>45734</v>
      </c>
      <c r="O6" t="s">
        <v>14</v>
      </c>
      <c r="P6" t="s">
        <v>51</v>
      </c>
      <c r="Q6" s="2"/>
      <c r="R6">
        <v>185</v>
      </c>
      <c r="S6">
        <v>198</v>
      </c>
      <c r="U6">
        <v>0.5</v>
      </c>
      <c r="V6">
        <v>0.4</v>
      </c>
      <c r="X6">
        <v>221.5</v>
      </c>
      <c r="Y6" s="2">
        <v>191.5</v>
      </c>
      <c r="Z6">
        <v>0.6</v>
      </c>
      <c r="AA6">
        <v>0.45</v>
      </c>
      <c r="AB6">
        <v>1.2694874999999999</v>
      </c>
      <c r="AC6">
        <v>3.4136749999999996</v>
      </c>
      <c r="AE6">
        <v>3.052339097623348</v>
      </c>
      <c r="AF6">
        <v>3</v>
      </c>
    </row>
    <row r="7" spans="1:33" x14ac:dyDescent="0.2">
      <c r="A7">
        <v>4868</v>
      </c>
      <c r="B7" t="s">
        <v>11</v>
      </c>
      <c r="C7" t="s">
        <v>2</v>
      </c>
      <c r="D7">
        <v>116</v>
      </c>
      <c r="E7" t="s">
        <v>21</v>
      </c>
      <c r="F7" t="s">
        <v>13</v>
      </c>
      <c r="G7" s="3">
        <v>45720</v>
      </c>
      <c r="H7" s="3"/>
      <c r="I7" s="7">
        <v>238</v>
      </c>
      <c r="J7" s="7">
        <v>0.35</v>
      </c>
      <c r="K7">
        <v>3.1823648891797833</v>
      </c>
      <c r="L7" s="3">
        <v>45731</v>
      </c>
      <c r="M7">
        <v>15.11</v>
      </c>
      <c r="N7" s="3">
        <v>45734</v>
      </c>
      <c r="O7" t="s">
        <v>18</v>
      </c>
      <c r="P7" t="s">
        <v>51</v>
      </c>
      <c r="Q7" s="2">
        <v>187</v>
      </c>
      <c r="U7">
        <v>0.6</v>
      </c>
      <c r="X7">
        <v>238</v>
      </c>
      <c r="Y7" s="2">
        <v>187</v>
      </c>
      <c r="Z7">
        <v>0.35</v>
      </c>
      <c r="AA7">
        <v>0.6</v>
      </c>
      <c r="AB7">
        <v>3.2941375000000002</v>
      </c>
      <c r="AC7">
        <v>2.1552500000000001</v>
      </c>
      <c r="AE7">
        <v>2.0821207151810537</v>
      </c>
      <c r="AF7">
        <v>4</v>
      </c>
    </row>
    <row r="8" spans="1:33" x14ac:dyDescent="0.2">
      <c r="A8">
        <v>4894</v>
      </c>
      <c r="B8" t="s">
        <v>15</v>
      </c>
      <c r="C8" t="s">
        <v>2</v>
      </c>
      <c r="D8">
        <v>116</v>
      </c>
      <c r="E8" t="s">
        <v>21</v>
      </c>
      <c r="F8" t="s">
        <v>16</v>
      </c>
      <c r="G8" s="3">
        <v>45720</v>
      </c>
      <c r="H8" s="3"/>
      <c r="I8" s="7">
        <v>180</v>
      </c>
      <c r="J8" s="7">
        <v>0.3</v>
      </c>
      <c r="K8">
        <v>0.28352924412328012</v>
      </c>
      <c r="L8" s="3">
        <v>45731</v>
      </c>
      <c r="M8">
        <v>15.95</v>
      </c>
      <c r="N8" s="3">
        <v>45734</v>
      </c>
      <c r="O8" t="s">
        <v>18</v>
      </c>
      <c r="P8" t="s">
        <v>51</v>
      </c>
      <c r="Q8" s="2">
        <v>230</v>
      </c>
      <c r="R8">
        <v>235</v>
      </c>
      <c r="U8">
        <v>0.3</v>
      </c>
      <c r="V8">
        <v>0.4</v>
      </c>
      <c r="X8">
        <v>180</v>
      </c>
      <c r="Y8" s="2">
        <v>232.5</v>
      </c>
      <c r="Z8">
        <v>0.3</v>
      </c>
      <c r="AA8">
        <v>0.35</v>
      </c>
      <c r="AB8">
        <v>0.29348750000000001</v>
      </c>
      <c r="AC8">
        <v>1.6728375000000002</v>
      </c>
      <c r="AE8">
        <v>1.6160768411468209</v>
      </c>
      <c r="AF8">
        <v>4</v>
      </c>
      <c r="AG8" s="1" t="s">
        <v>37</v>
      </c>
    </row>
    <row r="9" spans="1:33" x14ac:dyDescent="0.2">
      <c r="A9">
        <v>4830</v>
      </c>
      <c r="B9" t="s">
        <v>11</v>
      </c>
      <c r="C9" t="s">
        <v>3</v>
      </c>
      <c r="D9">
        <v>112</v>
      </c>
      <c r="E9" t="s">
        <v>20</v>
      </c>
      <c r="F9" t="s">
        <v>13</v>
      </c>
      <c r="G9" s="3">
        <v>45723</v>
      </c>
      <c r="H9" s="3"/>
      <c r="I9" s="7">
        <v>241.5</v>
      </c>
      <c r="J9" s="7">
        <v>0.3</v>
      </c>
      <c r="K9">
        <v>0.58239373021692087</v>
      </c>
      <c r="L9" s="3">
        <v>45731</v>
      </c>
      <c r="M9">
        <v>17.059999999999999</v>
      </c>
      <c r="N9" s="3">
        <v>45734</v>
      </c>
      <c r="O9" t="s">
        <v>14</v>
      </c>
      <c r="P9" t="s">
        <v>51</v>
      </c>
      <c r="Q9" s="2">
        <v>299</v>
      </c>
      <c r="R9">
        <v>292</v>
      </c>
      <c r="U9">
        <v>0.8</v>
      </c>
      <c r="V9">
        <v>0.8</v>
      </c>
      <c r="X9">
        <v>241.5</v>
      </c>
      <c r="Y9" s="2">
        <v>295.5</v>
      </c>
      <c r="Z9">
        <v>0.3</v>
      </c>
      <c r="AA9">
        <v>0.8</v>
      </c>
      <c r="AB9">
        <v>0.65133750000000001</v>
      </c>
      <c r="AC9">
        <v>6.9507625000000006</v>
      </c>
      <c r="AE9">
        <v>6.2150275398344039</v>
      </c>
      <c r="AF9">
        <v>3</v>
      </c>
    </row>
    <row r="10" spans="1:33" x14ac:dyDescent="0.2">
      <c r="A10">
        <v>4819</v>
      </c>
      <c r="B10" t="s">
        <v>11</v>
      </c>
      <c r="C10" t="s">
        <v>2</v>
      </c>
      <c r="D10">
        <v>112</v>
      </c>
      <c r="E10" t="s">
        <v>22</v>
      </c>
      <c r="F10" t="s">
        <v>13</v>
      </c>
      <c r="G10" s="3">
        <v>45721</v>
      </c>
      <c r="H10" s="3"/>
      <c r="I10" s="7">
        <v>198.5</v>
      </c>
      <c r="J10" s="7">
        <v>0.45</v>
      </c>
      <c r="K10">
        <v>1.8613315025878891E-2</v>
      </c>
      <c r="L10" s="3">
        <v>45732</v>
      </c>
      <c r="M10">
        <v>15.98</v>
      </c>
      <c r="N10" s="3">
        <v>45735</v>
      </c>
      <c r="O10" t="s">
        <v>14</v>
      </c>
      <c r="P10" t="s">
        <v>51</v>
      </c>
      <c r="Q10" s="2">
        <v>203</v>
      </c>
      <c r="R10">
        <v>178</v>
      </c>
      <c r="U10">
        <v>0.5</v>
      </c>
      <c r="V10">
        <v>0.6</v>
      </c>
      <c r="X10">
        <v>198.5</v>
      </c>
      <c r="Y10" s="2">
        <v>190.5</v>
      </c>
      <c r="Z10">
        <v>0.45</v>
      </c>
      <c r="AA10">
        <v>0.55000000000000004</v>
      </c>
      <c r="AB10">
        <v>1.5603309319756448E-2</v>
      </c>
      <c r="AC10">
        <v>1.3400874999999999</v>
      </c>
      <c r="AE10">
        <v>1.5986013151812475</v>
      </c>
      <c r="AF10">
        <v>1</v>
      </c>
      <c r="AG10" s="1" t="s">
        <v>37</v>
      </c>
    </row>
    <row r="11" spans="1:33" x14ac:dyDescent="0.2">
      <c r="A11">
        <v>4844</v>
      </c>
      <c r="B11" t="s">
        <v>15</v>
      </c>
      <c r="C11" t="s">
        <v>2</v>
      </c>
      <c r="D11">
        <v>112</v>
      </c>
      <c r="E11" t="s">
        <v>22</v>
      </c>
      <c r="F11" t="s">
        <v>16</v>
      </c>
      <c r="G11" s="3">
        <v>45721</v>
      </c>
      <c r="H11" s="3"/>
      <c r="I11" s="7">
        <v>278</v>
      </c>
      <c r="J11" s="7">
        <v>0.4</v>
      </c>
      <c r="K11">
        <v>1.2392079089811072</v>
      </c>
      <c r="L11" s="3">
        <v>45732</v>
      </c>
      <c r="M11">
        <v>15.07</v>
      </c>
      <c r="N11" s="3">
        <v>45735</v>
      </c>
      <c r="O11" t="s">
        <v>14</v>
      </c>
      <c r="P11" t="s">
        <v>51</v>
      </c>
      <c r="Q11" s="2">
        <v>299</v>
      </c>
      <c r="R11">
        <v>289</v>
      </c>
      <c r="U11">
        <v>0.4</v>
      </c>
      <c r="V11">
        <v>0.4</v>
      </c>
      <c r="X11">
        <v>278</v>
      </c>
      <c r="Y11" s="2">
        <v>294</v>
      </c>
      <c r="Z11">
        <v>0.4</v>
      </c>
      <c r="AA11">
        <v>0.4</v>
      </c>
      <c r="AB11">
        <v>1.0388124999999999</v>
      </c>
      <c r="AC11">
        <v>1.338125</v>
      </c>
      <c r="AE11">
        <v>1.5962602329153186</v>
      </c>
      <c r="AF11">
        <v>1</v>
      </c>
    </row>
    <row r="12" spans="1:33" x14ac:dyDescent="0.2">
      <c r="A12">
        <v>4870</v>
      </c>
      <c r="B12" t="s">
        <v>11</v>
      </c>
      <c r="C12" t="s">
        <v>3</v>
      </c>
      <c r="D12">
        <v>116</v>
      </c>
      <c r="E12" t="s">
        <v>23</v>
      </c>
      <c r="F12" t="s">
        <v>13</v>
      </c>
      <c r="G12" s="3">
        <v>45721</v>
      </c>
      <c r="H12" s="3"/>
      <c r="I12" s="7">
        <v>234.5</v>
      </c>
      <c r="J12" s="7">
        <v>0.45</v>
      </c>
      <c r="K12">
        <v>0.62594344892450071</v>
      </c>
      <c r="L12" s="3">
        <v>45732</v>
      </c>
      <c r="M12">
        <v>16.260000000000002</v>
      </c>
      <c r="N12" s="3">
        <v>45735</v>
      </c>
      <c r="O12" t="s">
        <v>18</v>
      </c>
      <c r="P12" t="s">
        <v>51</v>
      </c>
      <c r="Q12" s="2">
        <v>282</v>
      </c>
      <c r="R12">
        <v>227</v>
      </c>
      <c r="U12">
        <v>0.4</v>
      </c>
      <c r="V12">
        <v>0.3</v>
      </c>
      <c r="X12">
        <v>234.5</v>
      </c>
      <c r="Y12" s="2">
        <v>254.5</v>
      </c>
      <c r="Z12">
        <v>0.45</v>
      </c>
      <c r="AA12">
        <v>0.35</v>
      </c>
      <c r="AB12">
        <v>0.60229999999999995</v>
      </c>
      <c r="AC12">
        <v>3.1105125000000005</v>
      </c>
      <c r="AE12">
        <v>3.2326165070110759</v>
      </c>
      <c r="AF12">
        <v>6</v>
      </c>
    </row>
    <row r="13" spans="1:33" x14ac:dyDescent="0.2">
      <c r="A13">
        <v>4895</v>
      </c>
      <c r="B13" t="s">
        <v>15</v>
      </c>
      <c r="C13" t="s">
        <v>3</v>
      </c>
      <c r="D13">
        <v>116</v>
      </c>
      <c r="E13" t="s">
        <v>23</v>
      </c>
      <c r="F13" t="s">
        <v>16</v>
      </c>
      <c r="G13" s="3">
        <v>45721</v>
      </c>
      <c r="H13" s="3"/>
      <c r="I13" s="7">
        <v>219</v>
      </c>
      <c r="J13" s="7">
        <v>0.25</v>
      </c>
      <c r="K13">
        <v>0.47794577871564231</v>
      </c>
      <c r="L13" s="3">
        <v>45732</v>
      </c>
      <c r="M13">
        <v>14.7</v>
      </c>
      <c r="N13" s="3">
        <v>45735</v>
      </c>
      <c r="O13" t="s">
        <v>18</v>
      </c>
      <c r="P13" t="s">
        <v>51</v>
      </c>
      <c r="Q13" s="2">
        <v>236</v>
      </c>
      <c r="S13">
        <v>236</v>
      </c>
      <c r="U13">
        <v>0.4</v>
      </c>
      <c r="V13">
        <v>0.4</v>
      </c>
      <c r="X13">
        <v>219</v>
      </c>
      <c r="Y13" s="2">
        <v>236</v>
      </c>
      <c r="Z13">
        <v>0.25</v>
      </c>
      <c r="AA13">
        <v>0.4</v>
      </c>
      <c r="AB13">
        <v>0.53452500000000003</v>
      </c>
      <c r="AC13">
        <v>1.8461749999999999</v>
      </c>
      <c r="AE13">
        <v>1.6507582395965594</v>
      </c>
      <c r="AF13">
        <v>3</v>
      </c>
    </row>
    <row r="14" spans="1:33" x14ac:dyDescent="0.2">
      <c r="A14" s="6">
        <v>4896</v>
      </c>
      <c r="B14" t="s">
        <v>15</v>
      </c>
      <c r="C14" t="s">
        <v>2</v>
      </c>
      <c r="D14">
        <v>116</v>
      </c>
      <c r="E14" t="s">
        <v>17</v>
      </c>
      <c r="F14" t="s">
        <v>16</v>
      </c>
      <c r="G14" s="3">
        <v>45722</v>
      </c>
      <c r="H14" s="3"/>
      <c r="I14" s="7">
        <v>241</v>
      </c>
      <c r="J14" s="7">
        <v>0.45</v>
      </c>
      <c r="L14" s="3">
        <v>45733</v>
      </c>
      <c r="M14">
        <v>15.04</v>
      </c>
      <c r="N14" s="3">
        <v>45736</v>
      </c>
      <c r="O14" t="s">
        <v>18</v>
      </c>
      <c r="P14" s="6" t="s">
        <v>19</v>
      </c>
      <c r="Q14" s="2"/>
      <c r="X14">
        <v>241</v>
      </c>
      <c r="Y14" s="2"/>
      <c r="Z14">
        <v>0.45</v>
      </c>
    </row>
    <row r="15" spans="1:33" x14ac:dyDescent="0.2">
      <c r="A15">
        <v>4873</v>
      </c>
      <c r="B15" t="s">
        <v>11</v>
      </c>
      <c r="C15" t="s">
        <v>2</v>
      </c>
      <c r="D15">
        <v>116</v>
      </c>
      <c r="E15" t="s">
        <v>17</v>
      </c>
      <c r="F15" t="s">
        <v>13</v>
      </c>
      <c r="G15" s="3">
        <v>45722</v>
      </c>
      <c r="H15" s="3"/>
      <c r="I15" s="7">
        <v>199.5</v>
      </c>
      <c r="J15" s="7">
        <v>0.4</v>
      </c>
      <c r="K15">
        <v>6.2987452307955429</v>
      </c>
      <c r="L15" s="3">
        <v>45733</v>
      </c>
      <c r="M15">
        <v>16.22</v>
      </c>
      <c r="N15" s="3">
        <v>45736</v>
      </c>
      <c r="O15" t="s">
        <v>18</v>
      </c>
      <c r="P15" t="s">
        <v>51</v>
      </c>
      <c r="Q15" s="2">
        <v>248</v>
      </c>
      <c r="R15">
        <v>259</v>
      </c>
      <c r="U15">
        <v>1.1000000000000001</v>
      </c>
      <c r="V15">
        <v>0.8</v>
      </c>
      <c r="X15">
        <v>199.5</v>
      </c>
      <c r="Y15" s="2">
        <v>253.5</v>
      </c>
      <c r="Z15">
        <v>0.4</v>
      </c>
      <c r="AA15">
        <v>0.95000000000000007</v>
      </c>
      <c r="AB15">
        <v>6.2610000000000001</v>
      </c>
      <c r="AC15">
        <v>11.64325</v>
      </c>
      <c r="AE15">
        <v>11.713442806015046</v>
      </c>
      <c r="AF15">
        <v>2</v>
      </c>
    </row>
    <row r="16" spans="1:33" x14ac:dyDescent="0.2">
      <c r="A16">
        <v>4822</v>
      </c>
      <c r="B16" t="s">
        <v>11</v>
      </c>
      <c r="C16" t="s">
        <v>3</v>
      </c>
      <c r="D16">
        <v>112</v>
      </c>
      <c r="E16" t="s">
        <v>12</v>
      </c>
      <c r="F16" t="s">
        <v>13</v>
      </c>
      <c r="G16" s="3">
        <v>45722</v>
      </c>
      <c r="H16" s="3"/>
      <c r="I16" s="7">
        <v>204</v>
      </c>
      <c r="J16" s="7">
        <v>0.4</v>
      </c>
      <c r="K16">
        <v>0.64409725278732821</v>
      </c>
      <c r="L16" s="3">
        <v>45733</v>
      </c>
      <c r="M16">
        <v>16.329999999999998</v>
      </c>
      <c r="N16" s="3">
        <v>45736</v>
      </c>
      <c r="O16" t="s">
        <v>14</v>
      </c>
      <c r="P16" t="s">
        <v>51</v>
      </c>
      <c r="Q16" s="2">
        <v>212</v>
      </c>
      <c r="R16">
        <v>228</v>
      </c>
      <c r="U16">
        <v>0.6</v>
      </c>
      <c r="V16">
        <v>0.5</v>
      </c>
      <c r="X16">
        <v>204</v>
      </c>
      <c r="Y16" s="2">
        <v>220</v>
      </c>
      <c r="Z16">
        <v>0.4</v>
      </c>
      <c r="AA16">
        <v>0.55000000000000004</v>
      </c>
      <c r="AB16">
        <v>0.64023750000000001</v>
      </c>
      <c r="AC16">
        <v>2.479225</v>
      </c>
      <c r="AE16">
        <v>2.4941713216449575</v>
      </c>
      <c r="AF16">
        <v>2</v>
      </c>
    </row>
    <row r="17" spans="1:32" x14ac:dyDescent="0.2">
      <c r="A17">
        <v>4849</v>
      </c>
      <c r="B17" t="s">
        <v>15</v>
      </c>
      <c r="C17" t="s">
        <v>3</v>
      </c>
      <c r="D17">
        <v>112</v>
      </c>
      <c r="E17" t="s">
        <v>12</v>
      </c>
      <c r="F17" t="s">
        <v>16</v>
      </c>
      <c r="G17" s="3">
        <v>45722</v>
      </c>
      <c r="H17" s="3"/>
      <c r="I17" s="7">
        <v>314.5</v>
      </c>
      <c r="J17" s="7">
        <v>0.45</v>
      </c>
      <c r="K17">
        <v>1.2532098600865689</v>
      </c>
      <c r="L17" s="3">
        <v>45733</v>
      </c>
      <c r="M17">
        <v>17.63</v>
      </c>
      <c r="N17" s="3">
        <v>45736</v>
      </c>
      <c r="O17" t="s">
        <v>14</v>
      </c>
      <c r="P17" t="s">
        <v>51</v>
      </c>
      <c r="Q17" s="2"/>
      <c r="R17">
        <v>271</v>
      </c>
      <c r="S17">
        <v>243</v>
      </c>
      <c r="U17">
        <v>0.6</v>
      </c>
      <c r="V17">
        <v>0.6</v>
      </c>
      <c r="X17">
        <v>314.5</v>
      </c>
      <c r="Y17" s="2">
        <v>257</v>
      </c>
      <c r="Z17">
        <v>0.45</v>
      </c>
      <c r="AA17">
        <v>0.6</v>
      </c>
      <c r="AB17">
        <v>1.2457</v>
      </c>
      <c r="AC17">
        <v>1.1632875</v>
      </c>
      <c r="AE17">
        <v>1.1703005259014647</v>
      </c>
      <c r="AF17">
        <v>2</v>
      </c>
    </row>
    <row r="18" spans="1:32" x14ac:dyDescent="0.2">
      <c r="A18">
        <v>4820</v>
      </c>
      <c r="B18" t="s">
        <v>11</v>
      </c>
      <c r="C18" t="s">
        <v>2</v>
      </c>
      <c r="D18">
        <v>112</v>
      </c>
      <c r="E18" t="s">
        <v>20</v>
      </c>
      <c r="F18" t="s">
        <v>13</v>
      </c>
      <c r="G18" s="3">
        <v>45723</v>
      </c>
      <c r="H18" s="3"/>
      <c r="I18" s="7">
        <v>191.5</v>
      </c>
      <c r="J18" s="7">
        <v>0.5</v>
      </c>
      <c r="K18">
        <v>2.1878481802199685</v>
      </c>
      <c r="L18" s="3">
        <v>45734</v>
      </c>
      <c r="M18">
        <v>14.53</v>
      </c>
      <c r="N18" s="3">
        <v>45738</v>
      </c>
      <c r="O18" t="s">
        <v>14</v>
      </c>
      <c r="P18" t="s">
        <v>51</v>
      </c>
      <c r="Q18" s="5">
        <v>435</v>
      </c>
      <c r="R18">
        <v>249</v>
      </c>
      <c r="U18">
        <v>0.6</v>
      </c>
      <c r="X18">
        <v>191.5</v>
      </c>
      <c r="Y18" s="2">
        <v>342</v>
      </c>
      <c r="Z18">
        <v>0.5</v>
      </c>
      <c r="AA18">
        <v>0.6</v>
      </c>
      <c r="AB18">
        <v>2.1747375</v>
      </c>
      <c r="AC18">
        <v>2.5804500000000004</v>
      </c>
      <c r="AE18">
        <v>2.5960065693669319</v>
      </c>
      <c r="AF18">
        <v>2</v>
      </c>
    </row>
    <row r="19" spans="1:32" x14ac:dyDescent="0.2">
      <c r="A19">
        <v>4847</v>
      </c>
      <c r="B19" t="s">
        <v>15</v>
      </c>
      <c r="C19" t="s">
        <v>2</v>
      </c>
      <c r="D19">
        <v>112</v>
      </c>
      <c r="E19" t="s">
        <v>20</v>
      </c>
      <c r="F19" t="s">
        <v>16</v>
      </c>
      <c r="G19" s="3">
        <v>45723</v>
      </c>
      <c r="H19" s="3"/>
      <c r="I19" s="7">
        <v>240</v>
      </c>
      <c r="J19" s="7">
        <v>0.4</v>
      </c>
      <c r="K19">
        <v>5.460999358811863</v>
      </c>
      <c r="L19" s="3">
        <v>45734</v>
      </c>
      <c r="M19">
        <v>15.89</v>
      </c>
      <c r="N19" s="3">
        <v>45738</v>
      </c>
      <c r="O19" t="s">
        <v>14</v>
      </c>
      <c r="P19" t="s">
        <v>51</v>
      </c>
      <c r="Q19" s="2"/>
      <c r="S19">
        <v>293</v>
      </c>
      <c r="T19">
        <v>290</v>
      </c>
      <c r="U19">
        <v>0.4</v>
      </c>
      <c r="V19">
        <v>0.3</v>
      </c>
      <c r="X19">
        <v>240</v>
      </c>
      <c r="Y19" s="2">
        <v>291.5</v>
      </c>
      <c r="Z19">
        <v>0.4</v>
      </c>
      <c r="AA19">
        <v>0.35</v>
      </c>
      <c r="AB19">
        <v>4.5778875000000001</v>
      </c>
      <c r="AC19">
        <v>0.32893749999999999</v>
      </c>
      <c r="AE19">
        <v>0.39239222820333125</v>
      </c>
      <c r="AF19">
        <v>1</v>
      </c>
    </row>
    <row r="20" spans="1:32" x14ac:dyDescent="0.2">
      <c r="A20">
        <v>4871</v>
      </c>
      <c r="B20" t="s">
        <v>11</v>
      </c>
      <c r="C20" t="s">
        <v>3</v>
      </c>
      <c r="D20">
        <v>116</v>
      </c>
      <c r="E20" t="s">
        <v>21</v>
      </c>
      <c r="F20" t="s">
        <v>13</v>
      </c>
      <c r="G20" s="3">
        <v>45723</v>
      </c>
      <c r="H20" s="3"/>
      <c r="I20" s="7">
        <v>261</v>
      </c>
      <c r="J20" s="7">
        <v>0.4</v>
      </c>
      <c r="K20">
        <v>1.4701510220139846</v>
      </c>
      <c r="L20" s="3">
        <v>45734</v>
      </c>
      <c r="M20">
        <v>11.82</v>
      </c>
      <c r="N20" s="3">
        <v>45738</v>
      </c>
      <c r="O20" t="s">
        <v>18</v>
      </c>
      <c r="P20" t="s">
        <v>51</v>
      </c>
      <c r="Q20" s="2">
        <v>408</v>
      </c>
      <c r="R20">
        <v>417</v>
      </c>
      <c r="U20">
        <v>0.5</v>
      </c>
      <c r="V20">
        <v>0.4</v>
      </c>
      <c r="X20">
        <v>261</v>
      </c>
      <c r="Y20" s="2">
        <v>412.5</v>
      </c>
      <c r="Z20">
        <v>0.4</v>
      </c>
      <c r="AA20">
        <v>0.45</v>
      </c>
      <c r="AB20">
        <v>1.6441874999999999</v>
      </c>
      <c r="AC20">
        <v>4.2279249999999999</v>
      </c>
      <c r="AE20">
        <v>3.7804011158997843</v>
      </c>
      <c r="AF20">
        <v>3</v>
      </c>
    </row>
    <row r="21" spans="1:32" x14ac:dyDescent="0.2">
      <c r="A21">
        <v>4905</v>
      </c>
      <c r="B21" t="s">
        <v>15</v>
      </c>
      <c r="C21" t="s">
        <v>3</v>
      </c>
      <c r="D21">
        <v>116</v>
      </c>
      <c r="E21" t="s">
        <v>21</v>
      </c>
      <c r="F21" t="s">
        <v>16</v>
      </c>
      <c r="G21" s="3">
        <v>45727</v>
      </c>
      <c r="H21" s="3"/>
      <c r="I21" s="7">
        <v>223</v>
      </c>
      <c r="J21" s="7">
        <v>0.4</v>
      </c>
      <c r="K21">
        <v>0.60574385279513299</v>
      </c>
      <c r="L21" s="3">
        <v>45734</v>
      </c>
      <c r="M21">
        <v>14.73</v>
      </c>
      <c r="N21" s="3">
        <v>45738</v>
      </c>
      <c r="O21" t="s">
        <v>18</v>
      </c>
      <c r="P21" t="s">
        <v>51</v>
      </c>
      <c r="Q21" s="2">
        <v>452</v>
      </c>
      <c r="R21">
        <v>426</v>
      </c>
      <c r="U21">
        <v>0.3</v>
      </c>
      <c r="X21">
        <v>223</v>
      </c>
      <c r="Y21" s="2">
        <v>439</v>
      </c>
      <c r="Z21">
        <v>0.4</v>
      </c>
      <c r="AA21">
        <v>0.3</v>
      </c>
      <c r="AB21" s="4">
        <v>0.50778749999999995</v>
      </c>
      <c r="AC21" s="4">
        <v>4.3966000000000003</v>
      </c>
      <c r="AE21">
        <v>5.2447400205776669</v>
      </c>
      <c r="AF21">
        <v>1</v>
      </c>
    </row>
    <row r="22" spans="1:32" x14ac:dyDescent="0.2">
      <c r="A22">
        <v>4851</v>
      </c>
      <c r="B22" t="s">
        <v>15</v>
      </c>
      <c r="C22" t="s">
        <v>3</v>
      </c>
      <c r="D22">
        <v>112</v>
      </c>
      <c r="E22" t="s">
        <v>22</v>
      </c>
      <c r="F22" t="s">
        <v>16</v>
      </c>
      <c r="G22" s="3">
        <v>45724</v>
      </c>
      <c r="H22" s="3"/>
      <c r="I22" s="7">
        <v>241</v>
      </c>
      <c r="J22" s="7">
        <v>0.4</v>
      </c>
      <c r="K22">
        <v>3.5556566213858609</v>
      </c>
      <c r="L22" s="3">
        <v>45735</v>
      </c>
      <c r="M22">
        <v>15.7</v>
      </c>
      <c r="N22" s="3">
        <v>45739</v>
      </c>
      <c r="O22" t="s">
        <v>14</v>
      </c>
      <c r="P22" t="s">
        <v>51</v>
      </c>
      <c r="Q22" s="2">
        <v>192</v>
      </c>
      <c r="R22">
        <v>191</v>
      </c>
      <c r="U22">
        <v>0.8</v>
      </c>
      <c r="V22">
        <v>0.6</v>
      </c>
      <c r="X22">
        <v>241</v>
      </c>
      <c r="Y22" s="2">
        <v>191.5</v>
      </c>
      <c r="Z22">
        <v>0.4</v>
      </c>
      <c r="AA22">
        <v>0.7</v>
      </c>
      <c r="AB22">
        <v>2.9806624999999998</v>
      </c>
      <c r="AC22">
        <v>0.1305625</v>
      </c>
      <c r="AE22">
        <v>0.15574907176833724</v>
      </c>
      <c r="AF22">
        <v>1</v>
      </c>
    </row>
    <row r="23" spans="1:32" x14ac:dyDescent="0.2">
      <c r="A23">
        <v>4824</v>
      </c>
      <c r="B23" t="s">
        <v>11</v>
      </c>
      <c r="C23" t="s">
        <v>3</v>
      </c>
      <c r="D23">
        <v>112</v>
      </c>
      <c r="E23" t="s">
        <v>23</v>
      </c>
      <c r="F23" t="s">
        <v>16</v>
      </c>
      <c r="G23" s="3">
        <v>45724</v>
      </c>
      <c r="H23" s="3"/>
      <c r="I23" s="7">
        <v>226.5</v>
      </c>
      <c r="J23" s="7">
        <v>0.4</v>
      </c>
      <c r="K23">
        <v>2.3209519407124644</v>
      </c>
      <c r="L23" s="3">
        <v>45749</v>
      </c>
      <c r="M23">
        <v>15.41</v>
      </c>
      <c r="N23" s="3">
        <v>45752</v>
      </c>
      <c r="O23" t="s">
        <v>14</v>
      </c>
      <c r="P23" t="s">
        <v>51</v>
      </c>
      <c r="Q23" s="2">
        <v>218</v>
      </c>
      <c r="R23">
        <v>222</v>
      </c>
      <c r="U23">
        <v>0.7</v>
      </c>
      <c r="V23">
        <v>0.6</v>
      </c>
      <c r="X23">
        <v>226.5</v>
      </c>
      <c r="Y23" s="2">
        <v>220</v>
      </c>
      <c r="Z23">
        <v>0.4</v>
      </c>
      <c r="AA23">
        <v>0.64999999999999991</v>
      </c>
      <c r="AB23">
        <v>1.9456249999999999</v>
      </c>
      <c r="AC23">
        <v>4.4021875000000001</v>
      </c>
      <c r="AE23">
        <v>5.2514053949271586</v>
      </c>
      <c r="AF23">
        <v>1</v>
      </c>
    </row>
    <row r="24" spans="1:32" x14ac:dyDescent="0.2">
      <c r="A24">
        <v>4875</v>
      </c>
      <c r="B24" t="s">
        <v>11</v>
      </c>
      <c r="C24" t="s">
        <v>2</v>
      </c>
      <c r="D24">
        <v>116</v>
      </c>
      <c r="E24" t="s">
        <v>23</v>
      </c>
      <c r="F24" t="s">
        <v>13</v>
      </c>
      <c r="G24" s="3">
        <v>45724</v>
      </c>
      <c r="H24" s="3"/>
      <c r="I24" s="7">
        <v>240</v>
      </c>
      <c r="J24" s="7"/>
      <c r="K24">
        <v>1.3050862621713912</v>
      </c>
      <c r="L24" s="3">
        <v>45735</v>
      </c>
      <c r="M24">
        <v>16.27</v>
      </c>
      <c r="N24" s="3">
        <v>45739</v>
      </c>
      <c r="O24" t="s">
        <v>18</v>
      </c>
      <c r="P24" t="s">
        <v>51</v>
      </c>
      <c r="Q24" s="2">
        <v>179</v>
      </c>
      <c r="R24">
        <v>162</v>
      </c>
      <c r="U24">
        <v>0.3</v>
      </c>
      <c r="V24">
        <v>0.4</v>
      </c>
      <c r="X24">
        <v>240</v>
      </c>
      <c r="Y24" s="2">
        <v>170.5</v>
      </c>
      <c r="AA24">
        <v>0.35</v>
      </c>
      <c r="AB24">
        <v>1.0940375</v>
      </c>
      <c r="AC24">
        <v>0.23995000000000002</v>
      </c>
      <c r="AE24">
        <v>0.28623831322786042</v>
      </c>
      <c r="AF24">
        <v>1</v>
      </c>
    </row>
    <row r="25" spans="1:32" x14ac:dyDescent="0.2">
      <c r="A25">
        <v>4899</v>
      </c>
      <c r="B25" t="s">
        <v>15</v>
      </c>
      <c r="C25" t="s">
        <v>2</v>
      </c>
      <c r="D25">
        <v>116</v>
      </c>
      <c r="E25" t="s">
        <v>23</v>
      </c>
      <c r="F25" t="s">
        <v>13</v>
      </c>
      <c r="G25" s="3">
        <v>45724</v>
      </c>
      <c r="H25" s="3"/>
      <c r="I25" s="7">
        <v>193.5</v>
      </c>
      <c r="J25" s="7">
        <v>0.4</v>
      </c>
      <c r="K25">
        <v>0.43084925342499558</v>
      </c>
      <c r="L25" s="3">
        <v>45748</v>
      </c>
      <c r="M25">
        <v>14.02</v>
      </c>
      <c r="N25" s="3">
        <v>45751</v>
      </c>
      <c r="O25" t="s">
        <v>18</v>
      </c>
      <c r="P25" t="s">
        <v>51</v>
      </c>
      <c r="Q25" s="2">
        <v>205</v>
      </c>
      <c r="R25">
        <v>187</v>
      </c>
      <c r="V25">
        <v>0.2</v>
      </c>
      <c r="W25">
        <v>0.2</v>
      </c>
      <c r="X25">
        <v>193.5</v>
      </c>
      <c r="Y25" s="2">
        <v>196</v>
      </c>
      <c r="Z25">
        <v>0.4</v>
      </c>
      <c r="AA25">
        <v>0.2</v>
      </c>
      <c r="AB25">
        <v>0.41457499999999992</v>
      </c>
      <c r="AC25">
        <v>1.0325374999999999</v>
      </c>
      <c r="AE25">
        <v>1.0730700380107614</v>
      </c>
      <c r="AF25">
        <v>6</v>
      </c>
    </row>
    <row r="26" spans="1:32" x14ac:dyDescent="0.2">
      <c r="A26">
        <v>4825</v>
      </c>
      <c r="B26" t="s">
        <v>11</v>
      </c>
      <c r="C26" t="s">
        <v>3</v>
      </c>
      <c r="D26">
        <v>112</v>
      </c>
      <c r="E26" t="s">
        <v>22</v>
      </c>
      <c r="F26" t="s">
        <v>13</v>
      </c>
      <c r="G26" s="3">
        <v>45725</v>
      </c>
      <c r="H26" s="3"/>
      <c r="I26" s="7">
        <v>168.5</v>
      </c>
      <c r="J26" s="7">
        <v>0.35</v>
      </c>
      <c r="K26">
        <v>1.5177198268924696</v>
      </c>
      <c r="L26" s="3">
        <v>45735</v>
      </c>
      <c r="M26">
        <v>14.3</v>
      </c>
      <c r="N26" s="3">
        <v>45739</v>
      </c>
      <c r="O26" t="s">
        <v>14</v>
      </c>
      <c r="P26" t="s">
        <v>51</v>
      </c>
      <c r="Q26" s="2">
        <v>186</v>
      </c>
      <c r="R26">
        <v>158</v>
      </c>
      <c r="U26">
        <v>0.6</v>
      </c>
      <c r="V26">
        <v>0.6</v>
      </c>
      <c r="X26">
        <v>168.5</v>
      </c>
      <c r="Y26" s="2">
        <v>172</v>
      </c>
      <c r="Z26">
        <v>0.35</v>
      </c>
      <c r="AA26">
        <v>0.6</v>
      </c>
      <c r="AB26">
        <v>1.6973875</v>
      </c>
      <c r="AC26">
        <v>2.7062124999999999</v>
      </c>
      <c r="AE26">
        <v>2.4197611724100936</v>
      </c>
      <c r="AF26">
        <v>3</v>
      </c>
    </row>
    <row r="27" spans="1:32" x14ac:dyDescent="0.2">
      <c r="A27">
        <v>4848</v>
      </c>
      <c r="B27" t="s">
        <v>15</v>
      </c>
      <c r="C27" t="s">
        <v>3</v>
      </c>
      <c r="D27">
        <v>112</v>
      </c>
      <c r="E27" t="s">
        <v>23</v>
      </c>
      <c r="F27" t="s">
        <v>13</v>
      </c>
      <c r="G27" s="3">
        <v>45725</v>
      </c>
      <c r="H27" s="3"/>
      <c r="I27" s="7">
        <v>185</v>
      </c>
      <c r="J27" s="7">
        <v>0.6</v>
      </c>
      <c r="K27">
        <v>1.7035711501170765</v>
      </c>
      <c r="L27" s="3">
        <v>45749</v>
      </c>
      <c r="M27">
        <v>12.79</v>
      </c>
      <c r="N27" s="3">
        <v>45752</v>
      </c>
      <c r="O27" t="s">
        <v>14</v>
      </c>
      <c r="P27" s="6" t="s">
        <v>19</v>
      </c>
      <c r="Q27" s="2"/>
      <c r="X27">
        <v>185</v>
      </c>
      <c r="Y27" s="2"/>
      <c r="Z27">
        <v>0.6</v>
      </c>
      <c r="AB27">
        <v>1.6933624999999999</v>
      </c>
      <c r="AF27">
        <v>2</v>
      </c>
    </row>
    <row r="28" spans="1:32" x14ac:dyDescent="0.2">
      <c r="A28">
        <v>4876</v>
      </c>
      <c r="B28" t="s">
        <v>11</v>
      </c>
      <c r="C28" t="s">
        <v>3</v>
      </c>
      <c r="D28">
        <v>116</v>
      </c>
      <c r="E28" t="s">
        <v>12</v>
      </c>
      <c r="F28" t="s">
        <v>16</v>
      </c>
      <c r="G28" s="3">
        <v>45725</v>
      </c>
      <c r="H28" s="3"/>
      <c r="I28" s="7">
        <v>206</v>
      </c>
      <c r="J28" s="7">
        <v>0.3</v>
      </c>
      <c r="K28">
        <v>0.14237358901331584</v>
      </c>
      <c r="L28" s="3">
        <v>45736</v>
      </c>
      <c r="M28">
        <v>13.76</v>
      </c>
      <c r="N28" s="3">
        <v>45740</v>
      </c>
      <c r="O28" t="s">
        <v>14</v>
      </c>
      <c r="P28" t="s">
        <v>51</v>
      </c>
      <c r="Q28" s="2">
        <v>256</v>
      </c>
      <c r="R28">
        <v>230</v>
      </c>
      <c r="U28">
        <v>0.4</v>
      </c>
      <c r="V28">
        <v>0.3</v>
      </c>
      <c r="X28">
        <v>206</v>
      </c>
      <c r="Y28" s="2">
        <v>243</v>
      </c>
      <c r="Z28">
        <v>0.3</v>
      </c>
      <c r="AA28">
        <v>0.35</v>
      </c>
      <c r="AB28">
        <v>0.11935</v>
      </c>
      <c r="AC28">
        <v>7.7678875000000005</v>
      </c>
      <c r="AE28">
        <v>9.266376392347496</v>
      </c>
      <c r="AF28">
        <v>1</v>
      </c>
    </row>
    <row r="29" spans="1:32" x14ac:dyDescent="0.2">
      <c r="A29">
        <v>4898</v>
      </c>
      <c r="B29" t="s">
        <v>15</v>
      </c>
      <c r="C29" t="s">
        <v>2</v>
      </c>
      <c r="D29">
        <v>116</v>
      </c>
      <c r="E29" t="s">
        <v>23</v>
      </c>
      <c r="F29" t="s">
        <v>16</v>
      </c>
      <c r="G29" s="3">
        <v>45725</v>
      </c>
      <c r="H29" s="3"/>
      <c r="I29" s="7">
        <v>207</v>
      </c>
      <c r="J29" s="7">
        <v>0.35</v>
      </c>
      <c r="K29">
        <v>0.35042388624311821</v>
      </c>
      <c r="L29" s="3">
        <v>45735</v>
      </c>
      <c r="M29">
        <v>16.940000000000001</v>
      </c>
      <c r="N29" s="3">
        <v>45739</v>
      </c>
      <c r="O29" t="s">
        <v>18</v>
      </c>
      <c r="P29" t="s">
        <v>51</v>
      </c>
      <c r="Q29" s="2">
        <v>170</v>
      </c>
      <c r="R29">
        <v>165</v>
      </c>
      <c r="U29">
        <v>0.3</v>
      </c>
      <c r="V29">
        <v>0.3</v>
      </c>
      <c r="X29">
        <v>207</v>
      </c>
      <c r="Y29" s="2">
        <v>167.5</v>
      </c>
      <c r="Z29">
        <v>0.35</v>
      </c>
      <c r="AA29">
        <v>0.3</v>
      </c>
      <c r="AB29">
        <v>0.33718749999999997</v>
      </c>
      <c r="AC29">
        <v>2.0110375</v>
      </c>
      <c r="AE29">
        <v>2.0899813193865278</v>
      </c>
      <c r="AF29">
        <v>6</v>
      </c>
    </row>
    <row r="30" spans="1:32" x14ac:dyDescent="0.2">
      <c r="A30">
        <v>4853</v>
      </c>
      <c r="B30" t="s">
        <v>15</v>
      </c>
      <c r="C30" t="s">
        <v>2</v>
      </c>
      <c r="D30">
        <v>112</v>
      </c>
      <c r="E30" t="s">
        <v>23</v>
      </c>
      <c r="F30" t="s">
        <v>13</v>
      </c>
      <c r="G30" s="3">
        <v>45726</v>
      </c>
      <c r="H30" s="3"/>
      <c r="I30" s="7">
        <v>192.5</v>
      </c>
      <c r="J30" s="7">
        <v>0.6</v>
      </c>
      <c r="K30">
        <v>1.6108359155558882</v>
      </c>
      <c r="L30" s="3">
        <v>45738</v>
      </c>
      <c r="M30">
        <v>18.39</v>
      </c>
      <c r="N30" s="3">
        <v>45742</v>
      </c>
      <c r="O30" t="s">
        <v>14</v>
      </c>
      <c r="P30" t="s">
        <v>51</v>
      </c>
      <c r="Q30" s="2">
        <v>161</v>
      </c>
      <c r="R30">
        <v>162</v>
      </c>
      <c r="U30">
        <v>0.4</v>
      </c>
      <c r="V30">
        <v>0.5</v>
      </c>
      <c r="X30">
        <v>192.5</v>
      </c>
      <c r="Y30" s="2">
        <v>161.5</v>
      </c>
      <c r="Z30">
        <v>0.6</v>
      </c>
      <c r="AA30">
        <v>0.45</v>
      </c>
      <c r="AB30">
        <v>1.6674125</v>
      </c>
      <c r="AC30">
        <v>9.335325000000001</v>
      </c>
      <c r="AE30">
        <v>9.0185702658381039</v>
      </c>
      <c r="AF30">
        <v>4</v>
      </c>
    </row>
    <row r="31" spans="1:32" x14ac:dyDescent="0.2">
      <c r="A31">
        <v>4874</v>
      </c>
      <c r="B31" t="s">
        <v>11</v>
      </c>
      <c r="C31" t="s">
        <v>2</v>
      </c>
      <c r="D31">
        <v>116</v>
      </c>
      <c r="E31" t="s">
        <v>20</v>
      </c>
      <c r="F31" t="s">
        <v>13</v>
      </c>
      <c r="G31" s="3">
        <v>45731</v>
      </c>
      <c r="H31" s="3"/>
      <c r="I31" s="7">
        <v>189</v>
      </c>
      <c r="J31" s="7">
        <v>0.4</v>
      </c>
      <c r="K31">
        <v>0.69666875176609544</v>
      </c>
      <c r="L31" s="3">
        <v>45738</v>
      </c>
      <c r="M31">
        <v>13.61</v>
      </c>
      <c r="N31" s="3">
        <v>45741</v>
      </c>
      <c r="O31" t="s">
        <v>14</v>
      </c>
      <c r="P31" t="s">
        <v>51</v>
      </c>
      <c r="Q31" s="2"/>
      <c r="R31">
        <v>231</v>
      </c>
      <c r="S31">
        <v>243</v>
      </c>
      <c r="U31">
        <v>0.6</v>
      </c>
      <c r="V31">
        <v>0.7</v>
      </c>
      <c r="X31">
        <v>189</v>
      </c>
      <c r="Y31" s="2">
        <v>237</v>
      </c>
      <c r="Z31">
        <v>0.4</v>
      </c>
      <c r="AA31">
        <v>0.64999999999999991</v>
      </c>
      <c r="AB31">
        <v>0.7211375000000001</v>
      </c>
      <c r="AC31">
        <v>1.697675</v>
      </c>
      <c r="AE31">
        <v>1.64007158573019</v>
      </c>
      <c r="AF31">
        <v>4</v>
      </c>
    </row>
    <row r="32" spans="1:32" x14ac:dyDescent="0.2">
      <c r="A32">
        <v>4902</v>
      </c>
      <c r="B32" t="s">
        <v>15</v>
      </c>
      <c r="C32" t="s">
        <v>3</v>
      </c>
      <c r="D32">
        <v>116</v>
      </c>
      <c r="E32" t="s">
        <v>12</v>
      </c>
      <c r="F32" t="s">
        <v>13</v>
      </c>
      <c r="G32" s="3">
        <v>45726</v>
      </c>
      <c r="H32" s="3"/>
      <c r="I32" s="7">
        <v>168.5</v>
      </c>
      <c r="J32" s="7">
        <v>0.45</v>
      </c>
      <c r="K32">
        <v>0.59203774575139445</v>
      </c>
      <c r="L32" s="3">
        <v>45736</v>
      </c>
      <c r="M32">
        <v>13.58</v>
      </c>
      <c r="N32" s="3">
        <v>45740</v>
      </c>
      <c r="O32" t="s">
        <v>14</v>
      </c>
      <c r="P32" t="s">
        <v>51</v>
      </c>
      <c r="Q32" s="2">
        <v>210</v>
      </c>
      <c r="R32">
        <v>207</v>
      </c>
      <c r="U32">
        <v>0.4</v>
      </c>
      <c r="V32">
        <v>7</v>
      </c>
      <c r="X32">
        <v>168.5</v>
      </c>
      <c r="Y32" s="2">
        <v>208.5</v>
      </c>
      <c r="Z32">
        <v>0.45</v>
      </c>
      <c r="AA32">
        <v>3.7</v>
      </c>
      <c r="AB32">
        <v>0.56967499999999993</v>
      </c>
      <c r="AC32">
        <v>26.293262499999997</v>
      </c>
      <c r="AE32">
        <v>27.325411610040241</v>
      </c>
      <c r="AF32">
        <v>6</v>
      </c>
    </row>
    <row r="33" spans="1:33" x14ac:dyDescent="0.2">
      <c r="A33">
        <v>4826</v>
      </c>
      <c r="B33" t="s">
        <v>11</v>
      </c>
      <c r="C33" t="s">
        <v>2</v>
      </c>
      <c r="D33">
        <v>112</v>
      </c>
      <c r="E33" t="s">
        <v>23</v>
      </c>
      <c r="F33" t="s">
        <v>16</v>
      </c>
      <c r="G33" s="3">
        <v>45727</v>
      </c>
      <c r="H33" s="3"/>
      <c r="I33" s="7">
        <v>192</v>
      </c>
      <c r="J33" s="7">
        <v>0.4</v>
      </c>
      <c r="K33">
        <v>1.2238835193600233</v>
      </c>
      <c r="L33" s="3">
        <v>45373</v>
      </c>
      <c r="M33">
        <v>15.27</v>
      </c>
      <c r="N33" s="3">
        <v>45742</v>
      </c>
      <c r="O33" t="s">
        <v>14</v>
      </c>
      <c r="P33" t="s">
        <v>51</v>
      </c>
      <c r="Q33" s="2">
        <v>242</v>
      </c>
      <c r="R33">
        <v>222</v>
      </c>
      <c r="U33">
        <v>0.6</v>
      </c>
      <c r="V33">
        <v>0.6</v>
      </c>
      <c r="X33">
        <v>192</v>
      </c>
      <c r="Y33" s="2">
        <v>232</v>
      </c>
      <c r="Z33">
        <v>0.4</v>
      </c>
      <c r="AA33">
        <v>0.6</v>
      </c>
      <c r="AB33">
        <v>1.3126625000000001</v>
      </c>
      <c r="AC33">
        <v>4.3848374999999997</v>
      </c>
      <c r="AE33">
        <v>4.0882788617194485</v>
      </c>
      <c r="AF33">
        <v>5</v>
      </c>
    </row>
    <row r="34" spans="1:33" x14ac:dyDescent="0.2">
      <c r="A34">
        <v>4883</v>
      </c>
      <c r="B34" t="s">
        <v>11</v>
      </c>
      <c r="C34" t="s">
        <v>3</v>
      </c>
      <c r="D34">
        <v>116</v>
      </c>
      <c r="E34" t="s">
        <v>22</v>
      </c>
      <c r="F34" t="s">
        <v>16</v>
      </c>
      <c r="G34" s="3">
        <v>45729</v>
      </c>
      <c r="H34" s="3"/>
      <c r="I34" s="7">
        <v>208</v>
      </c>
      <c r="J34" s="7">
        <v>0.3</v>
      </c>
      <c r="K34">
        <v>0.34660752350439555</v>
      </c>
      <c r="L34" s="3">
        <v>45739</v>
      </c>
      <c r="M34">
        <v>14.26</v>
      </c>
      <c r="N34" s="3">
        <v>45742</v>
      </c>
      <c r="O34" t="s">
        <v>18</v>
      </c>
      <c r="P34" t="s">
        <v>51</v>
      </c>
      <c r="Q34" s="2">
        <v>240</v>
      </c>
      <c r="U34">
        <v>0.5</v>
      </c>
      <c r="X34">
        <v>208</v>
      </c>
      <c r="Y34" s="2">
        <v>240</v>
      </c>
      <c r="Z34">
        <v>0.3</v>
      </c>
      <c r="AA34">
        <v>0.5</v>
      </c>
      <c r="AB34">
        <v>0.37175000000000002</v>
      </c>
      <c r="AC34">
        <v>3.7442875</v>
      </c>
      <c r="AE34">
        <v>3.4910510226320492</v>
      </c>
      <c r="AF34">
        <v>5</v>
      </c>
    </row>
    <row r="35" spans="1:33" x14ac:dyDescent="0.2">
      <c r="A35">
        <v>4900</v>
      </c>
      <c r="B35" t="s">
        <v>15</v>
      </c>
      <c r="C35" t="s">
        <v>2</v>
      </c>
      <c r="D35">
        <v>116</v>
      </c>
      <c r="E35" t="s">
        <v>20</v>
      </c>
      <c r="F35" t="s">
        <v>16</v>
      </c>
      <c r="G35" s="3">
        <v>45727</v>
      </c>
      <c r="H35" s="3"/>
      <c r="I35" s="7">
        <v>161</v>
      </c>
      <c r="J35" s="7">
        <v>0.55000000000000004</v>
      </c>
      <c r="K35">
        <v>1.1337716160875553</v>
      </c>
      <c r="L35" s="3">
        <v>45738</v>
      </c>
      <c r="M35">
        <v>13.95</v>
      </c>
      <c r="N35" s="3">
        <v>45741</v>
      </c>
      <c r="O35" t="s">
        <v>14</v>
      </c>
      <c r="P35" t="s">
        <v>51</v>
      </c>
      <c r="Q35" s="2">
        <v>162</v>
      </c>
      <c r="R35">
        <v>149</v>
      </c>
      <c r="U35">
        <v>0.4</v>
      </c>
      <c r="W35">
        <v>0.3</v>
      </c>
      <c r="X35">
        <v>161</v>
      </c>
      <c r="Y35" s="2">
        <v>155.5</v>
      </c>
      <c r="Z35">
        <v>0.55000000000000004</v>
      </c>
      <c r="AA35">
        <v>0.35</v>
      </c>
      <c r="AB35">
        <v>1.2679875</v>
      </c>
      <c r="AC35">
        <v>7.9100875000000004</v>
      </c>
      <c r="AE35">
        <v>7.0728084372038138</v>
      </c>
      <c r="AF35">
        <v>3</v>
      </c>
    </row>
    <row r="36" spans="1:33" x14ac:dyDescent="0.2">
      <c r="A36">
        <v>4880</v>
      </c>
      <c r="B36" t="s">
        <v>11</v>
      </c>
      <c r="C36" t="s">
        <v>2</v>
      </c>
      <c r="D36">
        <v>116</v>
      </c>
      <c r="E36" t="s">
        <v>17</v>
      </c>
      <c r="F36" t="s">
        <v>16</v>
      </c>
      <c r="G36" s="3">
        <v>45728</v>
      </c>
      <c r="H36" s="3"/>
      <c r="I36" s="7">
        <v>213</v>
      </c>
      <c r="J36" s="7">
        <v>0.6</v>
      </c>
      <c r="K36">
        <v>0.59508339442281222</v>
      </c>
      <c r="L36" s="3">
        <v>45740</v>
      </c>
      <c r="M36">
        <v>16.28</v>
      </c>
      <c r="N36" s="3">
        <v>45743</v>
      </c>
      <c r="O36" t="s">
        <v>18</v>
      </c>
      <c r="P36" t="s">
        <v>51</v>
      </c>
      <c r="Q36" s="2">
        <v>175</v>
      </c>
      <c r="R36">
        <v>181</v>
      </c>
      <c r="U36">
        <v>0.3</v>
      </c>
      <c r="V36">
        <v>0.2</v>
      </c>
      <c r="X36">
        <v>213</v>
      </c>
      <c r="Y36" s="2">
        <v>178</v>
      </c>
      <c r="Z36">
        <v>0.6</v>
      </c>
      <c r="AA36">
        <v>0.25</v>
      </c>
      <c r="AB36">
        <v>0.63824999999999998</v>
      </c>
      <c r="AC36">
        <v>1.7916875000000001</v>
      </c>
      <c r="AE36">
        <v>1.670510739</v>
      </c>
      <c r="AF36">
        <v>5</v>
      </c>
    </row>
    <row r="37" spans="1:33" x14ac:dyDescent="0.2">
      <c r="A37">
        <v>4903</v>
      </c>
      <c r="B37" t="s">
        <v>15</v>
      </c>
      <c r="C37" t="s">
        <v>3</v>
      </c>
      <c r="D37">
        <v>116</v>
      </c>
      <c r="E37" t="s">
        <v>22</v>
      </c>
      <c r="F37" t="s">
        <v>13</v>
      </c>
      <c r="G37" s="3">
        <v>45728</v>
      </c>
      <c r="H37" s="3"/>
      <c r="I37" s="7">
        <v>214.5</v>
      </c>
      <c r="J37" s="7">
        <v>0.3</v>
      </c>
      <c r="K37">
        <v>0.17054162378748552</v>
      </c>
      <c r="L37" s="3">
        <v>45739</v>
      </c>
      <c r="M37">
        <v>14.62</v>
      </c>
      <c r="N37" s="3">
        <v>45742</v>
      </c>
      <c r="O37" t="s">
        <v>18</v>
      </c>
      <c r="P37" t="s">
        <v>51</v>
      </c>
      <c r="Q37" s="2">
        <v>197</v>
      </c>
      <c r="R37">
        <v>196</v>
      </c>
      <c r="U37">
        <v>0.3</v>
      </c>
      <c r="V37">
        <v>0.4</v>
      </c>
      <c r="X37">
        <v>214.5</v>
      </c>
      <c r="Y37" s="2">
        <v>196.5</v>
      </c>
      <c r="Z37">
        <v>0.3</v>
      </c>
      <c r="AA37">
        <v>0.35</v>
      </c>
      <c r="AB37">
        <v>0.18291250000000001</v>
      </c>
      <c r="AC37">
        <v>0.55052499999999993</v>
      </c>
      <c r="AE37">
        <v>0.51329147781373863</v>
      </c>
      <c r="AF37">
        <v>5</v>
      </c>
    </row>
    <row r="38" spans="1:33" x14ac:dyDescent="0.2">
      <c r="A38">
        <v>4829</v>
      </c>
      <c r="B38" t="s">
        <v>11</v>
      </c>
      <c r="C38" t="s">
        <v>3</v>
      </c>
      <c r="D38">
        <v>112</v>
      </c>
      <c r="E38" t="s">
        <v>21</v>
      </c>
      <c r="F38" t="s">
        <v>16</v>
      </c>
      <c r="G38" s="3">
        <v>45728</v>
      </c>
      <c r="H38" s="3"/>
      <c r="I38" s="7">
        <v>187.5</v>
      </c>
      <c r="J38" s="7">
        <v>0.4</v>
      </c>
      <c r="L38" s="3">
        <v>45738</v>
      </c>
      <c r="M38">
        <v>15.26</v>
      </c>
      <c r="N38" s="3">
        <v>45741</v>
      </c>
      <c r="O38" t="s">
        <v>18</v>
      </c>
      <c r="P38" t="s">
        <v>51</v>
      </c>
      <c r="Q38" s="2"/>
      <c r="R38">
        <v>188</v>
      </c>
      <c r="S38">
        <v>185</v>
      </c>
      <c r="U38">
        <v>0.3</v>
      </c>
      <c r="V38">
        <v>0.3</v>
      </c>
      <c r="X38">
        <v>187.5</v>
      </c>
      <c r="Y38" s="2">
        <v>186.5</v>
      </c>
      <c r="Z38">
        <v>0.4</v>
      </c>
      <c r="AA38">
        <v>0.3</v>
      </c>
    </row>
    <row r="39" spans="1:33" x14ac:dyDescent="0.2">
      <c r="A39">
        <v>4859</v>
      </c>
      <c r="B39" t="s">
        <v>15</v>
      </c>
      <c r="C39" t="s">
        <v>3</v>
      </c>
      <c r="D39">
        <v>112</v>
      </c>
      <c r="E39" t="s">
        <v>21</v>
      </c>
      <c r="F39" t="s">
        <v>13</v>
      </c>
      <c r="G39" s="3">
        <v>45728</v>
      </c>
      <c r="H39" s="3"/>
      <c r="I39" s="7">
        <v>235.5</v>
      </c>
      <c r="J39" s="7">
        <v>0.35</v>
      </c>
      <c r="K39">
        <v>0.49119790169762523</v>
      </c>
      <c r="L39" s="3">
        <v>45738</v>
      </c>
      <c r="M39">
        <v>17.34</v>
      </c>
      <c r="N39" s="3">
        <v>45741</v>
      </c>
      <c r="O39" t="s">
        <v>18</v>
      </c>
      <c r="P39" t="s">
        <v>51</v>
      </c>
      <c r="Q39" s="2">
        <v>255</v>
      </c>
      <c r="R39">
        <v>248</v>
      </c>
      <c r="U39">
        <v>0.4</v>
      </c>
      <c r="V39">
        <v>0.3</v>
      </c>
      <c r="X39">
        <v>235.5</v>
      </c>
      <c r="Y39" s="2">
        <v>251.5</v>
      </c>
      <c r="Z39">
        <v>0.35</v>
      </c>
      <c r="AA39">
        <v>0.35</v>
      </c>
      <c r="AB39">
        <v>0.50845000000000007</v>
      </c>
      <c r="AC39">
        <v>1.3396499999999998</v>
      </c>
      <c r="AE39">
        <v>1.294194648459482</v>
      </c>
      <c r="AF39">
        <v>4</v>
      </c>
      <c r="AG39" s="1" t="s">
        <v>39</v>
      </c>
    </row>
    <row r="40" spans="1:33" x14ac:dyDescent="0.2">
      <c r="A40">
        <v>4827</v>
      </c>
      <c r="B40" t="s">
        <v>11</v>
      </c>
      <c r="C40" t="s">
        <v>3</v>
      </c>
      <c r="D40">
        <v>112</v>
      </c>
      <c r="E40" t="s">
        <v>12</v>
      </c>
      <c r="F40" t="s">
        <v>16</v>
      </c>
      <c r="G40" s="3">
        <v>45729</v>
      </c>
      <c r="H40" s="3"/>
      <c r="I40" s="7">
        <v>265.5</v>
      </c>
      <c r="J40" s="7">
        <v>0.55000000000000004</v>
      </c>
      <c r="K40">
        <v>2.579579391620022</v>
      </c>
      <c r="L40" s="3">
        <v>45740</v>
      </c>
      <c r="M40">
        <v>16.12</v>
      </c>
      <c r="N40" s="3">
        <v>45743</v>
      </c>
      <c r="O40" t="s">
        <v>14</v>
      </c>
      <c r="P40" s="6" t="s">
        <v>19</v>
      </c>
      <c r="Q40" s="2"/>
      <c r="X40">
        <v>265.5</v>
      </c>
      <c r="Y40" s="2"/>
      <c r="Z40">
        <v>0.55000000000000004</v>
      </c>
      <c r="AB40">
        <v>2.8849499999999999</v>
      </c>
      <c r="AF40">
        <v>3</v>
      </c>
    </row>
    <row r="41" spans="1:33" x14ac:dyDescent="0.2">
      <c r="A41">
        <v>4855</v>
      </c>
      <c r="B41" t="s">
        <v>15</v>
      </c>
      <c r="C41" t="s">
        <v>3</v>
      </c>
      <c r="D41">
        <v>112</v>
      </c>
      <c r="E41" t="s">
        <v>12</v>
      </c>
      <c r="F41" t="s">
        <v>13</v>
      </c>
      <c r="G41" s="3">
        <v>45729</v>
      </c>
      <c r="H41" s="3"/>
      <c r="I41" s="7">
        <v>150.5</v>
      </c>
      <c r="J41" s="7">
        <v>0.35</v>
      </c>
      <c r="K41">
        <v>1.6992829530964304</v>
      </c>
      <c r="L41" s="3">
        <v>45740</v>
      </c>
      <c r="M41">
        <v>12.02</v>
      </c>
      <c r="N41" s="3">
        <v>45743</v>
      </c>
      <c r="O41" t="s">
        <v>14</v>
      </c>
      <c r="Q41" s="2">
        <v>366</v>
      </c>
      <c r="R41">
        <v>377</v>
      </c>
      <c r="U41">
        <v>0.6</v>
      </c>
      <c r="V41">
        <v>0.5</v>
      </c>
      <c r="X41">
        <v>150.5</v>
      </c>
      <c r="Y41" s="2">
        <v>371.5</v>
      </c>
      <c r="Z41">
        <v>0.35</v>
      </c>
      <c r="AA41">
        <v>0.55000000000000004</v>
      </c>
      <c r="AB41">
        <v>1.6890999999999998</v>
      </c>
      <c r="AC41">
        <v>6.8757625000000004</v>
      </c>
      <c r="AE41">
        <v>6.9172139043216481</v>
      </c>
      <c r="AF41">
        <v>2</v>
      </c>
      <c r="AG41" s="1" t="s">
        <v>38</v>
      </c>
    </row>
    <row r="42" spans="1:33" x14ac:dyDescent="0.2">
      <c r="A42">
        <v>4906</v>
      </c>
      <c r="B42" t="s">
        <v>15</v>
      </c>
      <c r="D42">
        <v>116</v>
      </c>
      <c r="G42" s="3">
        <v>45729</v>
      </c>
      <c r="H42" s="3"/>
      <c r="I42" s="7">
        <v>213</v>
      </c>
      <c r="J42" s="7">
        <v>0.64999999999999991</v>
      </c>
      <c r="K42">
        <v>0.57066918220998231</v>
      </c>
      <c r="N42" s="3">
        <v>45745</v>
      </c>
      <c r="O42" t="s">
        <v>18</v>
      </c>
      <c r="Q42" s="2">
        <v>205</v>
      </c>
      <c r="U42">
        <v>0.6</v>
      </c>
      <c r="X42">
        <v>213</v>
      </c>
      <c r="Y42" s="2">
        <v>205</v>
      </c>
      <c r="Z42">
        <v>0.64999999999999991</v>
      </c>
      <c r="AA42">
        <v>0.6</v>
      </c>
      <c r="AB42">
        <v>0.63822500000000004</v>
      </c>
      <c r="AF42">
        <v>3</v>
      </c>
    </row>
    <row r="43" spans="1:33" x14ac:dyDescent="0.2">
      <c r="A43">
        <v>4878</v>
      </c>
      <c r="B43" t="s">
        <v>11</v>
      </c>
      <c r="C43" t="s">
        <v>3</v>
      </c>
      <c r="D43">
        <v>116</v>
      </c>
      <c r="E43" t="s">
        <v>20</v>
      </c>
      <c r="F43" t="s">
        <v>16</v>
      </c>
      <c r="G43" s="3">
        <v>45729</v>
      </c>
      <c r="H43" s="3"/>
      <c r="I43" s="7">
        <v>176</v>
      </c>
      <c r="J43" s="7">
        <v>0.55000000000000004</v>
      </c>
      <c r="K43">
        <v>2.9378425721215198</v>
      </c>
      <c r="L43" s="3">
        <v>45741</v>
      </c>
      <c r="M43">
        <v>14.98</v>
      </c>
      <c r="N43" s="3">
        <v>45744</v>
      </c>
      <c r="O43" t="s">
        <v>14</v>
      </c>
      <c r="Q43" s="2">
        <v>202</v>
      </c>
      <c r="R43">
        <v>198</v>
      </c>
      <c r="U43">
        <v>0.7</v>
      </c>
      <c r="V43">
        <v>0.7</v>
      </c>
      <c r="W43">
        <v>0.7</v>
      </c>
      <c r="X43">
        <v>176</v>
      </c>
      <c r="Y43" s="2">
        <v>200</v>
      </c>
      <c r="Z43">
        <v>0.55000000000000004</v>
      </c>
      <c r="AA43">
        <v>0.69999999999999984</v>
      </c>
      <c r="AB43">
        <v>3.1509499999999999</v>
      </c>
      <c r="AC43">
        <v>2.1505874999999999</v>
      </c>
      <c r="AE43">
        <v>2.0051373435225535</v>
      </c>
      <c r="AF43">
        <v>5</v>
      </c>
    </row>
    <row r="44" spans="1:33" x14ac:dyDescent="0.2">
      <c r="A44">
        <v>4831</v>
      </c>
      <c r="B44" t="s">
        <v>11</v>
      </c>
      <c r="C44" t="s">
        <v>2</v>
      </c>
      <c r="D44">
        <v>112</v>
      </c>
      <c r="E44" t="s">
        <v>21</v>
      </c>
      <c r="F44" t="s">
        <v>16</v>
      </c>
      <c r="G44" s="3">
        <v>45730</v>
      </c>
      <c r="H44" s="3"/>
      <c r="I44" s="7">
        <v>190.5</v>
      </c>
      <c r="J44" s="7">
        <v>0.6</v>
      </c>
      <c r="K44">
        <v>1.3709488490492674</v>
      </c>
      <c r="L44" s="3">
        <v>45741</v>
      </c>
      <c r="M44">
        <v>16.13</v>
      </c>
      <c r="N44" s="3">
        <v>45744</v>
      </c>
      <c r="O44" t="s">
        <v>18</v>
      </c>
      <c r="Q44" s="2">
        <v>183</v>
      </c>
      <c r="R44">
        <v>173</v>
      </c>
      <c r="U44">
        <v>0.5</v>
      </c>
      <c r="V44">
        <v>0.6</v>
      </c>
      <c r="X44">
        <v>190.5</v>
      </c>
      <c r="Y44" s="2">
        <v>178</v>
      </c>
      <c r="Z44">
        <v>0.6</v>
      </c>
      <c r="AA44">
        <v>0.55000000000000004</v>
      </c>
      <c r="AB44">
        <v>1.4191</v>
      </c>
      <c r="AC44">
        <v>2.3150875000000002</v>
      </c>
      <c r="AE44">
        <v>2.2365348062668899</v>
      </c>
      <c r="AF44">
        <v>4</v>
      </c>
    </row>
    <row r="45" spans="1:33" x14ac:dyDescent="0.2">
      <c r="A45">
        <v>4860</v>
      </c>
      <c r="B45" t="s">
        <v>15</v>
      </c>
      <c r="C45" t="s">
        <v>2</v>
      </c>
      <c r="D45">
        <v>112</v>
      </c>
      <c r="E45" t="s">
        <v>21</v>
      </c>
      <c r="F45" t="s">
        <v>13</v>
      </c>
      <c r="G45" s="3">
        <v>45730</v>
      </c>
      <c r="H45" s="3"/>
      <c r="I45" s="7">
        <v>219.5</v>
      </c>
      <c r="J45" s="7">
        <v>0.35</v>
      </c>
      <c r="K45">
        <v>1.7342647957890343</v>
      </c>
      <c r="L45" s="3">
        <v>45741</v>
      </c>
      <c r="M45">
        <v>13.89</v>
      </c>
      <c r="N45" s="3">
        <v>45744</v>
      </c>
      <c r="O45" t="s">
        <v>18</v>
      </c>
      <c r="Q45" s="2">
        <v>193</v>
      </c>
      <c r="R45">
        <v>176</v>
      </c>
      <c r="U45">
        <v>0.3</v>
      </c>
      <c r="V45">
        <v>0.3</v>
      </c>
      <c r="X45">
        <v>219.5</v>
      </c>
      <c r="Y45" s="2">
        <v>184.5</v>
      </c>
      <c r="Z45">
        <v>0.35</v>
      </c>
      <c r="AA45">
        <v>0.3</v>
      </c>
      <c r="AB45">
        <v>1.4538125</v>
      </c>
      <c r="AC45">
        <v>0.17658750000000001</v>
      </c>
      <c r="AE45">
        <v>0.2106526698775778</v>
      </c>
      <c r="AF45">
        <v>1</v>
      </c>
    </row>
    <row r="46" spans="1:33" x14ac:dyDescent="0.2">
      <c r="A46">
        <v>4884</v>
      </c>
      <c r="B46" t="s">
        <v>11</v>
      </c>
      <c r="C46" t="s">
        <v>3</v>
      </c>
      <c r="D46">
        <v>116</v>
      </c>
      <c r="E46" t="s">
        <v>23</v>
      </c>
      <c r="F46" t="s">
        <v>16</v>
      </c>
      <c r="G46" s="3">
        <v>45730</v>
      </c>
      <c r="H46" s="3"/>
      <c r="I46" s="7">
        <v>183.5</v>
      </c>
      <c r="J46" s="7">
        <v>0.3</v>
      </c>
      <c r="K46">
        <v>0.9910904264954149</v>
      </c>
      <c r="L46" s="3">
        <v>45742</v>
      </c>
      <c r="M46">
        <v>12.89</v>
      </c>
      <c r="N46" s="3">
        <v>45745</v>
      </c>
      <c r="O46" t="s">
        <v>18</v>
      </c>
      <c r="Q46" s="2">
        <v>221</v>
      </c>
      <c r="R46">
        <v>212</v>
      </c>
      <c r="U46">
        <v>0.4</v>
      </c>
      <c r="V46">
        <v>0.4</v>
      </c>
      <c r="X46">
        <v>183.5</v>
      </c>
      <c r="Y46" s="2">
        <v>216.5</v>
      </c>
      <c r="Z46">
        <v>0.3</v>
      </c>
      <c r="AA46">
        <v>0.4</v>
      </c>
      <c r="AB46">
        <v>1.0259</v>
      </c>
      <c r="AC46">
        <v>2.6934374999999999</v>
      </c>
      <c r="AE46">
        <v>2.6020471007054722</v>
      </c>
      <c r="AF46">
        <v>4</v>
      </c>
    </row>
    <row r="47" spans="1:33" x14ac:dyDescent="0.2">
      <c r="A47">
        <v>4904</v>
      </c>
      <c r="B47" t="s">
        <v>15</v>
      </c>
      <c r="C47" t="s">
        <v>2</v>
      </c>
      <c r="D47">
        <v>116</v>
      </c>
      <c r="E47" t="s">
        <v>17</v>
      </c>
      <c r="F47" t="s">
        <v>13</v>
      </c>
      <c r="G47" s="3">
        <v>45730</v>
      </c>
      <c r="H47" s="3"/>
      <c r="I47" s="7">
        <v>178</v>
      </c>
      <c r="J47" s="7">
        <v>0.4</v>
      </c>
      <c r="K47">
        <v>1.1823698677553607</v>
      </c>
      <c r="L47" s="3">
        <v>45740</v>
      </c>
      <c r="M47">
        <v>15.88</v>
      </c>
      <c r="N47" s="3">
        <v>45743</v>
      </c>
      <c r="O47" t="s">
        <v>18</v>
      </c>
      <c r="Q47" s="2"/>
      <c r="X47">
        <v>178</v>
      </c>
      <c r="Y47" s="2"/>
      <c r="Z47">
        <v>0.4</v>
      </c>
      <c r="AB47">
        <v>1.2681374999999999</v>
      </c>
      <c r="AC47">
        <v>3.3655249999999999</v>
      </c>
      <c r="AE47">
        <v>3.1379052738187783</v>
      </c>
      <c r="AF47">
        <v>5</v>
      </c>
    </row>
    <row r="48" spans="1:33" x14ac:dyDescent="0.2">
      <c r="A48">
        <v>4833</v>
      </c>
      <c r="B48" t="s">
        <v>11</v>
      </c>
      <c r="C48" t="s">
        <v>2</v>
      </c>
      <c r="D48">
        <v>112</v>
      </c>
      <c r="E48" t="s">
        <v>22</v>
      </c>
      <c r="F48" t="s">
        <v>16</v>
      </c>
      <c r="G48" s="3">
        <v>45731</v>
      </c>
      <c r="H48" s="3"/>
      <c r="I48" s="7">
        <v>150</v>
      </c>
      <c r="J48" s="7">
        <v>0.64999999999999991</v>
      </c>
      <c r="K48">
        <v>1.0231316725978647</v>
      </c>
      <c r="L48" s="3">
        <v>45742</v>
      </c>
      <c r="M48">
        <v>15.49</v>
      </c>
      <c r="N48" s="3">
        <v>45745</v>
      </c>
      <c r="O48" t="s">
        <v>14</v>
      </c>
      <c r="Q48" s="2">
        <v>162</v>
      </c>
      <c r="R48">
        <v>162</v>
      </c>
      <c r="U48">
        <v>0.3</v>
      </c>
      <c r="V48">
        <v>0.3</v>
      </c>
      <c r="X48">
        <v>150</v>
      </c>
      <c r="Y48" s="2">
        <v>162</v>
      </c>
      <c r="Z48">
        <v>0.64999999999999991</v>
      </c>
      <c r="AA48">
        <v>0.3</v>
      </c>
      <c r="AB48">
        <v>1.14425</v>
      </c>
      <c r="AC48">
        <v>0.76126250000000006</v>
      </c>
      <c r="AE48">
        <v>0.68068322037232432</v>
      </c>
      <c r="AF48">
        <v>3</v>
      </c>
    </row>
    <row r="49" spans="1:33" x14ac:dyDescent="0.2">
      <c r="A49">
        <v>4856</v>
      </c>
      <c r="B49" t="s">
        <v>15</v>
      </c>
      <c r="C49" t="s">
        <v>2</v>
      </c>
      <c r="D49">
        <v>112</v>
      </c>
      <c r="E49" t="s">
        <v>22</v>
      </c>
      <c r="F49" t="s">
        <v>13</v>
      </c>
      <c r="G49" s="3">
        <v>45731</v>
      </c>
      <c r="H49" s="3"/>
      <c r="I49" s="7">
        <v>198</v>
      </c>
      <c r="J49" s="7">
        <v>0.64999999999999991</v>
      </c>
      <c r="K49">
        <v>1.9572562667703586</v>
      </c>
      <c r="L49" s="3">
        <v>45742</v>
      </c>
      <c r="M49">
        <v>17.079999999999998</v>
      </c>
      <c r="N49" s="3">
        <v>45745</v>
      </c>
      <c r="O49" t="s">
        <v>14</v>
      </c>
      <c r="Q49" s="2">
        <v>207</v>
      </c>
      <c r="R49">
        <v>189</v>
      </c>
      <c r="U49">
        <v>0.4</v>
      </c>
      <c r="V49">
        <v>0.4</v>
      </c>
      <c r="X49">
        <v>198</v>
      </c>
      <c r="Y49" s="2">
        <v>198</v>
      </c>
      <c r="Z49">
        <v>0.64999999999999991</v>
      </c>
      <c r="AA49">
        <v>0.4</v>
      </c>
      <c r="AB49">
        <v>2.0260000000000002</v>
      </c>
      <c r="AC49">
        <v>0.74656250000000002</v>
      </c>
      <c r="AE49">
        <v>0.72123106202405995</v>
      </c>
      <c r="AF49">
        <v>4</v>
      </c>
    </row>
    <row r="50" spans="1:33" x14ac:dyDescent="0.2">
      <c r="A50">
        <v>4881</v>
      </c>
      <c r="B50" t="s">
        <v>11</v>
      </c>
      <c r="C50" t="s">
        <v>3</v>
      </c>
      <c r="D50">
        <v>116</v>
      </c>
      <c r="E50" t="s">
        <v>12</v>
      </c>
      <c r="F50" t="s">
        <v>13</v>
      </c>
      <c r="G50" s="3">
        <v>45731</v>
      </c>
      <c r="H50" s="3"/>
      <c r="I50" s="7">
        <v>187</v>
      </c>
      <c r="J50" s="7">
        <v>0.3</v>
      </c>
      <c r="K50">
        <v>1.10258811852859</v>
      </c>
      <c r="L50" s="3">
        <v>45743</v>
      </c>
      <c r="M50">
        <v>14.83</v>
      </c>
      <c r="N50" s="3">
        <v>45746</v>
      </c>
      <c r="O50" t="s">
        <v>14</v>
      </c>
      <c r="P50" s="6" t="s">
        <v>19</v>
      </c>
      <c r="Q50" s="2"/>
      <c r="X50">
        <v>187</v>
      </c>
      <c r="Y50" s="2"/>
      <c r="Z50">
        <v>0.3</v>
      </c>
      <c r="AB50">
        <v>1.2331125000000001</v>
      </c>
      <c r="AF50">
        <v>3</v>
      </c>
    </row>
    <row r="51" spans="1:33" x14ac:dyDescent="0.2">
      <c r="A51">
        <v>4908</v>
      </c>
      <c r="B51" t="s">
        <v>15</v>
      </c>
      <c r="C51" t="s">
        <v>3</v>
      </c>
      <c r="D51">
        <v>116</v>
      </c>
      <c r="E51" t="s">
        <v>20</v>
      </c>
      <c r="F51" t="s">
        <v>13</v>
      </c>
      <c r="G51" s="3">
        <v>45731</v>
      </c>
      <c r="H51" s="3"/>
      <c r="I51" s="7">
        <v>206</v>
      </c>
      <c r="J51" s="7">
        <v>0.4</v>
      </c>
      <c r="K51">
        <v>0.84901361372724293</v>
      </c>
      <c r="L51" s="3">
        <v>45741</v>
      </c>
      <c r="M51">
        <v>13.53</v>
      </c>
      <c r="N51" s="3">
        <v>45744</v>
      </c>
      <c r="O51" t="s">
        <v>14</v>
      </c>
      <c r="Q51" s="2">
        <v>269</v>
      </c>
      <c r="R51">
        <v>273</v>
      </c>
      <c r="U51">
        <v>0.8</v>
      </c>
      <c r="V51">
        <v>0.8</v>
      </c>
      <c r="X51">
        <v>206</v>
      </c>
      <c r="Y51" s="2">
        <v>271</v>
      </c>
      <c r="Z51">
        <v>0.4</v>
      </c>
      <c r="AA51">
        <v>0.8</v>
      </c>
      <c r="AB51">
        <v>0.91060000000000008</v>
      </c>
      <c r="AC51">
        <v>5.3396999999999997</v>
      </c>
      <c r="AE51">
        <v>4.9785613806494169</v>
      </c>
      <c r="AF51">
        <v>5</v>
      </c>
    </row>
    <row r="52" spans="1:33" x14ac:dyDescent="0.2">
      <c r="A52">
        <v>4832</v>
      </c>
      <c r="B52" t="s">
        <v>11</v>
      </c>
      <c r="C52" t="s">
        <v>2</v>
      </c>
      <c r="D52">
        <v>112</v>
      </c>
      <c r="E52" t="s">
        <v>17</v>
      </c>
      <c r="F52" t="s">
        <v>13</v>
      </c>
      <c r="G52" s="3">
        <v>45732</v>
      </c>
      <c r="H52" s="3"/>
      <c r="I52" s="7">
        <v>275</v>
      </c>
      <c r="J52" s="7">
        <v>0.5</v>
      </c>
      <c r="K52">
        <v>0.48996092562456417</v>
      </c>
      <c r="L52" s="3">
        <v>45743</v>
      </c>
      <c r="M52">
        <v>13.36</v>
      </c>
      <c r="N52" s="3">
        <v>45746</v>
      </c>
      <c r="O52" t="s">
        <v>18</v>
      </c>
      <c r="Q52" s="2"/>
      <c r="X52">
        <v>275</v>
      </c>
      <c r="Y52" s="2"/>
      <c r="Z52">
        <v>0.5</v>
      </c>
      <c r="AB52">
        <v>0.54796250000000013</v>
      </c>
      <c r="AC52">
        <v>0.56542500000000007</v>
      </c>
      <c r="AE52">
        <v>0.50557502816573996</v>
      </c>
      <c r="AF52">
        <v>2</v>
      </c>
    </row>
    <row r="53" spans="1:33" x14ac:dyDescent="0.2">
      <c r="A53">
        <v>4861</v>
      </c>
      <c r="B53" t="s">
        <v>15</v>
      </c>
      <c r="D53">
        <v>112</v>
      </c>
      <c r="G53" s="3">
        <v>45732</v>
      </c>
      <c r="H53" s="3"/>
      <c r="I53" s="7">
        <v>188</v>
      </c>
      <c r="J53" s="7">
        <v>0.4</v>
      </c>
      <c r="K53">
        <v>0.19820754647413011</v>
      </c>
      <c r="N53" s="3">
        <v>45755</v>
      </c>
      <c r="O53" t="s">
        <v>14</v>
      </c>
      <c r="Q53" s="2">
        <v>187</v>
      </c>
      <c r="R53">
        <v>169</v>
      </c>
      <c r="U53">
        <v>0.4</v>
      </c>
      <c r="V53">
        <v>0.5</v>
      </c>
      <c r="X53">
        <v>188</v>
      </c>
      <c r="Y53" s="2">
        <v>178</v>
      </c>
      <c r="Z53">
        <v>0.4</v>
      </c>
      <c r="AA53">
        <v>0.45</v>
      </c>
      <c r="AB53">
        <v>0.17155987471012674</v>
      </c>
      <c r="AC53">
        <v>2.5019125</v>
      </c>
      <c r="AE53">
        <v>2.5169955961096875</v>
      </c>
      <c r="AF53">
        <v>2</v>
      </c>
    </row>
    <row r="54" spans="1:33" x14ac:dyDescent="0.2">
      <c r="A54">
        <v>4885</v>
      </c>
      <c r="B54" t="s">
        <v>11</v>
      </c>
      <c r="C54" t="s">
        <v>3</v>
      </c>
      <c r="D54">
        <v>116</v>
      </c>
      <c r="E54" t="s">
        <v>20</v>
      </c>
      <c r="F54" t="s">
        <v>13</v>
      </c>
      <c r="G54" s="3">
        <v>45732</v>
      </c>
      <c r="H54" s="3"/>
      <c r="I54" s="7">
        <v>163</v>
      </c>
      <c r="J54" s="7">
        <v>0.7</v>
      </c>
      <c r="K54">
        <v>2.3528368749732773</v>
      </c>
      <c r="L54" s="3">
        <v>45744</v>
      </c>
      <c r="M54">
        <v>13.98</v>
      </c>
      <c r="N54" s="3">
        <v>45747</v>
      </c>
      <c r="O54" t="s">
        <v>14</v>
      </c>
      <c r="P54" s="6" t="s">
        <v>19</v>
      </c>
      <c r="Q54" s="2"/>
      <c r="X54">
        <v>163</v>
      </c>
      <c r="Y54" s="2"/>
      <c r="Z54">
        <v>0.7</v>
      </c>
      <c r="AB54">
        <v>2.3387374999999997</v>
      </c>
      <c r="AF54">
        <v>2</v>
      </c>
    </row>
    <row r="55" spans="1:33" x14ac:dyDescent="0.2">
      <c r="A55">
        <v>4909</v>
      </c>
      <c r="B55" t="s">
        <v>15</v>
      </c>
      <c r="C55" t="s">
        <v>3</v>
      </c>
      <c r="D55">
        <v>116</v>
      </c>
      <c r="E55" t="s">
        <v>23</v>
      </c>
      <c r="F55" t="s">
        <v>13</v>
      </c>
      <c r="G55" s="3">
        <v>45732</v>
      </c>
      <c r="H55" s="3"/>
      <c r="I55" s="7">
        <v>226</v>
      </c>
      <c r="J55" s="7">
        <v>0.6</v>
      </c>
      <c r="K55">
        <v>0.95846143813896434</v>
      </c>
      <c r="L55" s="3">
        <v>45742</v>
      </c>
      <c r="M55">
        <v>13.68</v>
      </c>
      <c r="Q55" s="2"/>
      <c r="X55">
        <v>226</v>
      </c>
      <c r="Y55" s="2"/>
      <c r="Z55">
        <v>0.6</v>
      </c>
      <c r="AB55">
        <v>0.99212500000000003</v>
      </c>
      <c r="AC55">
        <v>1.4502124999999999</v>
      </c>
      <c r="AE55">
        <v>1.4010056780719189</v>
      </c>
      <c r="AF55">
        <v>4</v>
      </c>
    </row>
    <row r="56" spans="1:33" x14ac:dyDescent="0.2">
      <c r="A56">
        <v>4838</v>
      </c>
      <c r="B56" t="s">
        <v>11</v>
      </c>
      <c r="C56" t="s">
        <v>2</v>
      </c>
      <c r="D56">
        <v>112</v>
      </c>
      <c r="E56" t="s">
        <v>21</v>
      </c>
      <c r="F56" t="s">
        <v>13</v>
      </c>
      <c r="G56" s="3">
        <v>45733</v>
      </c>
      <c r="H56" s="3"/>
      <c r="I56" s="7">
        <v>230</v>
      </c>
      <c r="J56" s="7">
        <v>0.3</v>
      </c>
      <c r="K56">
        <v>4.7839941547500118</v>
      </c>
      <c r="L56" s="3">
        <v>45744</v>
      </c>
      <c r="M56">
        <v>13.68</v>
      </c>
      <c r="N56" s="3">
        <v>45747</v>
      </c>
      <c r="O56" t="s">
        <v>18</v>
      </c>
      <c r="Q56" s="2">
        <v>174</v>
      </c>
      <c r="R56">
        <v>175</v>
      </c>
      <c r="U56">
        <v>0.6</v>
      </c>
      <c r="V56">
        <v>0.4</v>
      </c>
      <c r="X56">
        <v>230</v>
      </c>
      <c r="Y56" s="2">
        <v>174.5</v>
      </c>
      <c r="Z56">
        <v>0.3</v>
      </c>
      <c r="AA56">
        <v>0.5</v>
      </c>
      <c r="AB56">
        <v>4.0103625000000003</v>
      </c>
      <c r="AC56">
        <v>3.0700374999999998</v>
      </c>
      <c r="AE56">
        <v>3.6622727882737127</v>
      </c>
      <c r="AF56">
        <v>1</v>
      </c>
    </row>
    <row r="57" spans="1:33" x14ac:dyDescent="0.2">
      <c r="A57">
        <v>4857</v>
      </c>
      <c r="B57" t="s">
        <v>15</v>
      </c>
      <c r="C57" t="s">
        <v>2</v>
      </c>
      <c r="D57">
        <v>112</v>
      </c>
      <c r="E57" t="s">
        <v>17</v>
      </c>
      <c r="F57" t="s">
        <v>16</v>
      </c>
      <c r="G57" s="3">
        <v>45733</v>
      </c>
      <c r="H57" s="3"/>
      <c r="I57" s="7">
        <v>197.5</v>
      </c>
      <c r="J57" s="7">
        <v>0.55000000000000004</v>
      </c>
      <c r="K57">
        <v>1.389388410047208</v>
      </c>
      <c r="L57" s="3">
        <v>45743</v>
      </c>
      <c r="M57">
        <v>18.68</v>
      </c>
      <c r="N57" s="3">
        <v>45746</v>
      </c>
      <c r="O57" t="s">
        <v>18</v>
      </c>
      <c r="Q57" s="2">
        <v>177</v>
      </c>
      <c r="R57">
        <v>158</v>
      </c>
      <c r="U57">
        <v>0.4</v>
      </c>
      <c r="V57">
        <v>0.4</v>
      </c>
      <c r="X57">
        <v>197.5</v>
      </c>
      <c r="Y57" s="2">
        <v>167.5</v>
      </c>
      <c r="Z57">
        <v>0.55000000000000004</v>
      </c>
      <c r="AA57">
        <v>0.4</v>
      </c>
      <c r="AB57">
        <v>1.3810625000000001</v>
      </c>
      <c r="AC57">
        <v>2.1170374999999999</v>
      </c>
      <c r="AE57">
        <v>2.1298003284683462</v>
      </c>
      <c r="AF57">
        <v>2</v>
      </c>
    </row>
    <row r="58" spans="1:33" x14ac:dyDescent="0.2">
      <c r="A58">
        <v>4886</v>
      </c>
      <c r="B58" t="s">
        <v>11</v>
      </c>
      <c r="C58" t="s">
        <v>2</v>
      </c>
      <c r="D58">
        <v>116</v>
      </c>
      <c r="E58" t="s">
        <v>23</v>
      </c>
      <c r="F58" t="s">
        <v>13</v>
      </c>
      <c r="G58" s="3">
        <v>45733</v>
      </c>
      <c r="H58" s="3"/>
      <c r="I58" s="7">
        <v>304.5</v>
      </c>
      <c r="J58" s="7">
        <v>0.2</v>
      </c>
      <c r="K58">
        <v>0.57772451415105019</v>
      </c>
      <c r="L58" s="3">
        <v>45745</v>
      </c>
      <c r="M58">
        <v>16.989999999999998</v>
      </c>
      <c r="N58" s="3">
        <v>45748</v>
      </c>
      <c r="O58" t="s">
        <v>14</v>
      </c>
      <c r="Q58" s="2">
        <v>197</v>
      </c>
      <c r="R58">
        <v>193</v>
      </c>
      <c r="U58">
        <v>0.4</v>
      </c>
      <c r="V58">
        <v>0.4</v>
      </c>
      <c r="X58">
        <v>304.5</v>
      </c>
      <c r="Y58" s="2">
        <v>195</v>
      </c>
      <c r="Z58">
        <v>0.2</v>
      </c>
      <c r="AA58">
        <v>0.4</v>
      </c>
      <c r="AB58">
        <v>0.57426250000000001</v>
      </c>
      <c r="AC58">
        <v>0.91468749999999999</v>
      </c>
      <c r="AE58">
        <v>0.92020180934248497</v>
      </c>
      <c r="AF58">
        <v>2</v>
      </c>
    </row>
    <row r="59" spans="1:33" x14ac:dyDescent="0.2">
      <c r="A59">
        <v>4912</v>
      </c>
      <c r="B59" t="s">
        <v>15</v>
      </c>
      <c r="C59" t="s">
        <v>3</v>
      </c>
      <c r="D59">
        <v>116</v>
      </c>
      <c r="E59" t="s">
        <v>12</v>
      </c>
      <c r="F59" t="s">
        <v>16</v>
      </c>
      <c r="G59" s="3">
        <v>45733</v>
      </c>
      <c r="H59" s="3"/>
      <c r="I59" s="7">
        <v>184</v>
      </c>
      <c r="J59" s="7">
        <v>0.4</v>
      </c>
      <c r="K59">
        <v>3.2806973174628893</v>
      </c>
      <c r="L59" s="3">
        <v>45743</v>
      </c>
      <c r="M59">
        <v>16.489999999999998</v>
      </c>
      <c r="N59" s="3">
        <v>45746</v>
      </c>
      <c r="O59" t="s">
        <v>14</v>
      </c>
      <c r="Q59" s="2">
        <v>199</v>
      </c>
      <c r="R59">
        <v>218</v>
      </c>
      <c r="V59">
        <v>1.2</v>
      </c>
      <c r="W59">
        <v>1.2</v>
      </c>
      <c r="X59">
        <v>184</v>
      </c>
      <c r="Y59" s="2">
        <v>208.5</v>
      </c>
      <c r="Z59">
        <v>0.4</v>
      </c>
      <c r="AA59">
        <v>1.2</v>
      </c>
      <c r="AB59">
        <v>3.518675</v>
      </c>
      <c r="AC59">
        <v>3.2788375000000003</v>
      </c>
      <c r="AE59">
        <v>3.0570806882268826</v>
      </c>
      <c r="AF59">
        <v>5</v>
      </c>
    </row>
    <row r="60" spans="1:33" x14ac:dyDescent="0.2">
      <c r="A60">
        <v>4823</v>
      </c>
      <c r="B60" t="s">
        <v>11</v>
      </c>
      <c r="C60" t="s">
        <v>3</v>
      </c>
      <c r="D60">
        <v>112</v>
      </c>
      <c r="E60" t="s">
        <v>22</v>
      </c>
      <c r="F60" t="s">
        <v>13</v>
      </c>
      <c r="G60" s="3">
        <v>45736</v>
      </c>
      <c r="H60" s="3"/>
      <c r="I60" s="7">
        <v>239</v>
      </c>
      <c r="J60" s="7">
        <v>0.35</v>
      </c>
      <c r="K60">
        <v>0.67872401575658925</v>
      </c>
      <c r="L60" s="3">
        <v>45745</v>
      </c>
      <c r="M60">
        <v>14.7</v>
      </c>
      <c r="N60" s="3">
        <v>45748</v>
      </c>
      <c r="O60" t="s">
        <v>18</v>
      </c>
      <c r="Q60" s="2">
        <v>330</v>
      </c>
      <c r="R60">
        <v>327</v>
      </c>
      <c r="U60">
        <v>0.3</v>
      </c>
      <c r="V60">
        <v>0.4</v>
      </c>
      <c r="X60">
        <v>239</v>
      </c>
      <c r="Y60" s="2">
        <v>328.5</v>
      </c>
      <c r="Z60">
        <v>0.35</v>
      </c>
      <c r="AA60">
        <v>0.35</v>
      </c>
      <c r="AB60">
        <v>0.70256249999999998</v>
      </c>
      <c r="AC60">
        <v>1.1008624999999999</v>
      </c>
      <c r="AE60">
        <v>1.0635093914005347</v>
      </c>
      <c r="AF60">
        <v>4</v>
      </c>
    </row>
    <row r="61" spans="1:33" x14ac:dyDescent="0.2">
      <c r="A61">
        <v>4864</v>
      </c>
      <c r="B61" t="s">
        <v>15</v>
      </c>
      <c r="C61" t="s">
        <v>2</v>
      </c>
      <c r="D61">
        <v>112</v>
      </c>
      <c r="E61" t="s">
        <v>21</v>
      </c>
      <c r="F61" t="s">
        <v>16</v>
      </c>
      <c r="G61" s="3">
        <v>45734</v>
      </c>
      <c r="H61" s="3"/>
      <c r="I61" s="7">
        <v>264.5</v>
      </c>
      <c r="J61" s="7">
        <v>0.4</v>
      </c>
      <c r="K61">
        <v>0.51126552644528278</v>
      </c>
      <c r="L61" s="3">
        <v>45744</v>
      </c>
      <c r="M61">
        <v>15.57</v>
      </c>
      <c r="N61" s="3">
        <v>45747</v>
      </c>
      <c r="O61" t="s">
        <v>18</v>
      </c>
      <c r="Q61" s="2"/>
      <c r="R61">
        <v>246</v>
      </c>
      <c r="S61">
        <v>241</v>
      </c>
      <c r="U61">
        <v>0.3</v>
      </c>
      <c r="V61">
        <v>0.3</v>
      </c>
      <c r="X61">
        <v>264.5</v>
      </c>
      <c r="Y61" s="2">
        <v>243.5</v>
      </c>
      <c r="Z61">
        <v>0.4</v>
      </c>
      <c r="AA61">
        <v>0.3</v>
      </c>
      <c r="AB61">
        <v>0.42858749999999995</v>
      </c>
      <c r="AC61">
        <v>4.5829250000000004</v>
      </c>
      <c r="AE61">
        <v>5.4670086336728154</v>
      </c>
      <c r="AF61">
        <v>1</v>
      </c>
    </row>
    <row r="62" spans="1:33" x14ac:dyDescent="0.2">
      <c r="A62">
        <v>4887</v>
      </c>
      <c r="B62" t="s">
        <v>11</v>
      </c>
      <c r="C62" t="s">
        <v>2</v>
      </c>
      <c r="D62">
        <v>116</v>
      </c>
      <c r="E62" t="s">
        <v>17</v>
      </c>
      <c r="F62" t="s">
        <v>13</v>
      </c>
      <c r="G62" s="3">
        <v>45734</v>
      </c>
      <c r="H62" s="3"/>
      <c r="I62" s="7">
        <v>218</v>
      </c>
      <c r="J62" s="7">
        <v>0.55000000000000004</v>
      </c>
      <c r="K62">
        <v>1.5533710761739725</v>
      </c>
      <c r="L62" s="3">
        <v>45746</v>
      </c>
      <c r="M62">
        <v>15.89</v>
      </c>
      <c r="N62" s="3">
        <v>45749</v>
      </c>
      <c r="O62" t="s">
        <v>14</v>
      </c>
      <c r="Q62" s="2">
        <v>248</v>
      </c>
      <c r="R62">
        <v>216</v>
      </c>
      <c r="U62">
        <v>0.7</v>
      </c>
      <c r="V62">
        <v>0.7</v>
      </c>
      <c r="X62">
        <v>218</v>
      </c>
      <c r="Y62" s="2">
        <v>232</v>
      </c>
      <c r="Z62">
        <v>0.55000000000000004</v>
      </c>
      <c r="AA62">
        <v>0.7</v>
      </c>
      <c r="AB62">
        <v>1.5440624999999999</v>
      </c>
      <c r="AC62">
        <v>1.8440124999999998</v>
      </c>
      <c r="AE62">
        <v>1.8551293627060157</v>
      </c>
      <c r="AF62">
        <v>2</v>
      </c>
      <c r="AG62" t="s">
        <v>41</v>
      </c>
    </row>
    <row r="63" spans="1:33" x14ac:dyDescent="0.2">
      <c r="A63">
        <v>4910</v>
      </c>
      <c r="B63" t="s">
        <v>15</v>
      </c>
      <c r="C63" t="s">
        <v>3</v>
      </c>
      <c r="D63">
        <v>116</v>
      </c>
      <c r="E63" t="s">
        <v>20</v>
      </c>
      <c r="F63" t="s">
        <v>16</v>
      </c>
      <c r="G63" s="3">
        <v>45734</v>
      </c>
      <c r="H63" s="3"/>
      <c r="I63" s="7">
        <v>185</v>
      </c>
      <c r="J63" s="7">
        <v>0.64999999999999991</v>
      </c>
      <c r="K63">
        <v>1.7831483932116097</v>
      </c>
      <c r="L63" s="3">
        <v>45744</v>
      </c>
      <c r="M63">
        <v>12.73</v>
      </c>
      <c r="N63" s="3">
        <v>45747</v>
      </c>
      <c r="O63" t="s">
        <v>14</v>
      </c>
      <c r="Q63" s="2">
        <v>195</v>
      </c>
      <c r="R63">
        <v>181</v>
      </c>
      <c r="U63">
        <v>0.7</v>
      </c>
      <c r="X63">
        <v>185</v>
      </c>
      <c r="Y63" s="2">
        <v>188</v>
      </c>
      <c r="Z63">
        <v>0.64999999999999991</v>
      </c>
      <c r="AA63">
        <v>0.7</v>
      </c>
      <c r="AB63">
        <v>1.9942374999999997</v>
      </c>
      <c r="AC63">
        <v>4.4890374999999993</v>
      </c>
      <c r="AE63">
        <v>4.0138749798816145</v>
      </c>
      <c r="AF63">
        <v>3</v>
      </c>
    </row>
    <row r="64" spans="1:33" x14ac:dyDescent="0.2">
      <c r="A64">
        <v>4840</v>
      </c>
      <c r="B64" t="s">
        <v>11</v>
      </c>
      <c r="C64" t="s">
        <v>3</v>
      </c>
      <c r="D64">
        <v>112</v>
      </c>
      <c r="E64" t="s">
        <v>21</v>
      </c>
      <c r="F64" t="s">
        <v>16</v>
      </c>
      <c r="G64" s="3">
        <v>45735</v>
      </c>
      <c r="H64" s="3"/>
      <c r="I64" s="7">
        <v>220</v>
      </c>
      <c r="J64" s="7">
        <v>0.30000000000000004</v>
      </c>
      <c r="K64">
        <v>0.47139257116442751</v>
      </c>
      <c r="L64" s="3">
        <v>45747</v>
      </c>
      <c r="M64">
        <v>17.45</v>
      </c>
      <c r="N64" s="3">
        <v>45750</v>
      </c>
      <c r="O64" t="s">
        <v>18</v>
      </c>
      <c r="Q64" s="2">
        <v>376</v>
      </c>
      <c r="R64">
        <v>369</v>
      </c>
      <c r="U64">
        <v>0.6</v>
      </c>
      <c r="V64">
        <v>0.7</v>
      </c>
      <c r="X64">
        <v>220</v>
      </c>
      <c r="Y64" s="2">
        <v>372.5</v>
      </c>
      <c r="Z64">
        <v>0.30000000000000004</v>
      </c>
      <c r="AA64">
        <v>0.64999999999999991</v>
      </c>
      <c r="AB64">
        <v>0.39516250000000003</v>
      </c>
      <c r="AC64">
        <v>12.7176875</v>
      </c>
      <c r="AE64">
        <v>15.171033207580933</v>
      </c>
      <c r="AF64">
        <v>1</v>
      </c>
    </row>
    <row r="65" spans="1:33" x14ac:dyDescent="0.2">
      <c r="A65">
        <v>4862</v>
      </c>
      <c r="B65" t="s">
        <v>15</v>
      </c>
      <c r="C65" t="s">
        <v>3</v>
      </c>
      <c r="D65">
        <v>112</v>
      </c>
      <c r="E65" t="s">
        <v>22</v>
      </c>
      <c r="F65" t="s">
        <v>16</v>
      </c>
      <c r="G65" s="3">
        <v>45735</v>
      </c>
      <c r="H65" s="3"/>
      <c r="I65" s="7">
        <v>392.5</v>
      </c>
      <c r="J65" s="7">
        <v>0.4</v>
      </c>
      <c r="K65">
        <v>2.0767548025654086</v>
      </c>
      <c r="L65" s="3">
        <v>45745</v>
      </c>
      <c r="M65">
        <v>15.65</v>
      </c>
      <c r="N65" s="3">
        <v>45748</v>
      </c>
      <c r="O65" t="s">
        <v>18</v>
      </c>
      <c r="Q65" s="2">
        <v>224</v>
      </c>
      <c r="R65">
        <v>252</v>
      </c>
      <c r="U65">
        <v>0.3</v>
      </c>
      <c r="V65">
        <v>0.3</v>
      </c>
      <c r="X65">
        <v>392.5</v>
      </c>
      <c r="Y65" s="2">
        <v>238</v>
      </c>
      <c r="Z65">
        <v>0.4</v>
      </c>
      <c r="AA65">
        <v>0.3</v>
      </c>
      <c r="AB65">
        <v>2.2274000000000003</v>
      </c>
      <c r="AC65">
        <v>4.6731499999999997</v>
      </c>
      <c r="AE65">
        <v>4.3570919931797336</v>
      </c>
      <c r="AF65">
        <v>5</v>
      </c>
      <c r="AG65" t="s">
        <v>40</v>
      </c>
    </row>
    <row r="66" spans="1:33" x14ac:dyDescent="0.2">
      <c r="A66">
        <v>4890</v>
      </c>
      <c r="B66" t="s">
        <v>11</v>
      </c>
      <c r="C66" t="s">
        <v>2</v>
      </c>
      <c r="D66">
        <v>116</v>
      </c>
      <c r="E66" t="s">
        <v>20</v>
      </c>
      <c r="F66" t="s">
        <v>13</v>
      </c>
      <c r="G66" s="3">
        <v>45735</v>
      </c>
      <c r="H66" s="3"/>
      <c r="I66" s="7">
        <v>196</v>
      </c>
      <c r="J66" s="7">
        <v>0.35</v>
      </c>
      <c r="K66">
        <v>1.5881186347166096</v>
      </c>
      <c r="L66" s="3">
        <v>45747</v>
      </c>
      <c r="M66">
        <v>19.21</v>
      </c>
      <c r="N66" s="3">
        <v>45750</v>
      </c>
      <c r="O66" t="s">
        <v>14</v>
      </c>
      <c r="Q66" s="2"/>
      <c r="S66">
        <v>192</v>
      </c>
      <c r="T66">
        <v>200</v>
      </c>
      <c r="V66">
        <v>0.6</v>
      </c>
      <c r="W66">
        <v>0.5</v>
      </c>
      <c r="X66">
        <v>196</v>
      </c>
      <c r="Y66" s="2">
        <v>196</v>
      </c>
      <c r="Z66">
        <v>0.35</v>
      </c>
      <c r="AA66">
        <v>0.55000000000000004</v>
      </c>
      <c r="AB66">
        <v>1.3312999999999999</v>
      </c>
      <c r="AC66">
        <v>1.6642375000000003</v>
      </c>
      <c r="AE66">
        <v>1.985282495563873</v>
      </c>
      <c r="AF66">
        <v>1</v>
      </c>
    </row>
    <row r="67" spans="1:33" x14ac:dyDescent="0.2">
      <c r="A67">
        <v>4913</v>
      </c>
      <c r="B67" t="s">
        <v>15</v>
      </c>
      <c r="C67" t="s">
        <v>2</v>
      </c>
      <c r="D67">
        <v>116</v>
      </c>
      <c r="E67" t="s">
        <v>23</v>
      </c>
      <c r="F67" t="s">
        <v>16</v>
      </c>
      <c r="G67" s="3">
        <v>45735</v>
      </c>
      <c r="H67" s="3"/>
      <c r="I67" s="7">
        <v>201</v>
      </c>
      <c r="J67" s="7">
        <v>0.35</v>
      </c>
      <c r="K67">
        <v>0.31752400794005614</v>
      </c>
      <c r="L67" s="3">
        <v>45745</v>
      </c>
      <c r="M67">
        <v>14.09</v>
      </c>
      <c r="N67" s="3">
        <v>45748</v>
      </c>
      <c r="O67" t="s">
        <v>14</v>
      </c>
      <c r="Q67" s="2">
        <v>181</v>
      </c>
      <c r="R67">
        <v>166</v>
      </c>
      <c r="U67">
        <v>0.2</v>
      </c>
      <c r="V67">
        <v>0.3</v>
      </c>
      <c r="X67">
        <v>201</v>
      </c>
      <c r="Y67" s="2">
        <v>173.5</v>
      </c>
      <c r="Z67">
        <v>0.35</v>
      </c>
      <c r="AA67">
        <v>0.25</v>
      </c>
      <c r="AB67">
        <v>0.3551125</v>
      </c>
      <c r="AC67">
        <v>2.4497874999999998</v>
      </c>
      <c r="AE67">
        <v>2.1904786387453283</v>
      </c>
      <c r="AF67">
        <v>3</v>
      </c>
    </row>
    <row r="68" spans="1:33" x14ac:dyDescent="0.2">
      <c r="A68">
        <v>4839</v>
      </c>
      <c r="B68" t="s">
        <v>11</v>
      </c>
      <c r="D68">
        <v>112</v>
      </c>
      <c r="G68" s="3">
        <v>45736</v>
      </c>
      <c r="H68" s="3"/>
      <c r="I68" s="7"/>
      <c r="J68" s="7"/>
      <c r="Q68" s="2"/>
      <c r="Y68" s="2"/>
    </row>
    <row r="69" spans="1:33" x14ac:dyDescent="0.2">
      <c r="A69">
        <v>4865</v>
      </c>
      <c r="B69" t="s">
        <v>15</v>
      </c>
      <c r="C69" t="s">
        <v>3</v>
      </c>
      <c r="D69">
        <v>112</v>
      </c>
      <c r="E69" t="s">
        <v>12</v>
      </c>
      <c r="F69" t="s">
        <v>16</v>
      </c>
      <c r="G69" s="3">
        <v>45736</v>
      </c>
      <c r="H69" s="3"/>
      <c r="I69" s="7">
        <v>263</v>
      </c>
      <c r="J69" s="7">
        <v>0.6</v>
      </c>
      <c r="K69">
        <v>3.0568724957674096</v>
      </c>
      <c r="L69" s="3">
        <v>45746</v>
      </c>
      <c r="M69">
        <v>14.13</v>
      </c>
      <c r="N69" s="3">
        <v>45749</v>
      </c>
      <c r="O69" t="s">
        <v>18</v>
      </c>
      <c r="Q69" s="2">
        <v>250</v>
      </c>
      <c r="R69">
        <v>239</v>
      </c>
      <c r="U69">
        <v>0.4</v>
      </c>
      <c r="V69">
        <v>0.4</v>
      </c>
      <c r="X69">
        <v>263</v>
      </c>
      <c r="Y69" s="2">
        <v>244.5</v>
      </c>
      <c r="Z69">
        <v>0.6</v>
      </c>
      <c r="AA69">
        <v>0.4</v>
      </c>
      <c r="AB69">
        <v>3.1642375</v>
      </c>
      <c r="AC69">
        <v>22.129874999999998</v>
      </c>
      <c r="AE69">
        <v>21.37899137541692</v>
      </c>
      <c r="AF69">
        <v>4</v>
      </c>
    </row>
    <row r="70" spans="1:33" x14ac:dyDescent="0.2">
      <c r="A70">
        <v>4888</v>
      </c>
      <c r="B70" t="s">
        <v>11</v>
      </c>
      <c r="C70" t="s">
        <v>2</v>
      </c>
      <c r="D70">
        <v>116</v>
      </c>
      <c r="E70" t="s">
        <v>23</v>
      </c>
      <c r="F70" t="s">
        <v>16</v>
      </c>
      <c r="G70" s="3">
        <v>45736</v>
      </c>
      <c r="H70" s="3"/>
      <c r="I70" s="7">
        <v>202.5</v>
      </c>
      <c r="J70" s="7">
        <v>0.45</v>
      </c>
      <c r="K70">
        <v>0.88149823852357867</v>
      </c>
      <c r="L70" s="3">
        <v>45748</v>
      </c>
      <c r="M70">
        <v>13.65</v>
      </c>
      <c r="N70" s="3">
        <v>45751</v>
      </c>
      <c r="O70" t="s">
        <v>18</v>
      </c>
      <c r="Q70" s="2">
        <v>156</v>
      </c>
      <c r="R70">
        <v>158</v>
      </c>
      <c r="U70">
        <v>0.5</v>
      </c>
      <c r="V70">
        <v>0.3</v>
      </c>
      <c r="X70">
        <v>202.5</v>
      </c>
      <c r="Y70" s="2">
        <v>157</v>
      </c>
      <c r="Z70">
        <v>0.45</v>
      </c>
      <c r="AA70">
        <v>0.4</v>
      </c>
      <c r="AB70">
        <v>0.98584999999999989</v>
      </c>
      <c r="AC70">
        <v>0.56210000000000004</v>
      </c>
      <c r="AE70">
        <v>0.50260197786083449</v>
      </c>
      <c r="AF70">
        <v>3</v>
      </c>
    </row>
    <row r="71" spans="1:33" x14ac:dyDescent="0.2">
      <c r="A71">
        <v>4911</v>
      </c>
      <c r="B71" t="s">
        <v>15</v>
      </c>
      <c r="C71" t="s">
        <v>2</v>
      </c>
      <c r="D71">
        <v>116</v>
      </c>
      <c r="E71" t="s">
        <v>17</v>
      </c>
      <c r="F71" t="s">
        <v>16</v>
      </c>
      <c r="G71" s="3">
        <v>45736</v>
      </c>
      <c r="H71" s="3"/>
      <c r="I71" s="7">
        <v>185.5</v>
      </c>
      <c r="J71" s="7">
        <v>0.4</v>
      </c>
      <c r="K71">
        <v>0.86548155020040063</v>
      </c>
      <c r="L71" s="3">
        <v>45746</v>
      </c>
      <c r="M71">
        <v>13.94</v>
      </c>
      <c r="N71" s="3">
        <v>45749</v>
      </c>
      <c r="O71" t="s">
        <v>14</v>
      </c>
      <c r="Q71" s="2">
        <v>155</v>
      </c>
      <c r="R71">
        <v>164</v>
      </c>
      <c r="U71">
        <v>0.4</v>
      </c>
      <c r="V71">
        <v>0.5</v>
      </c>
      <c r="X71">
        <v>185.5</v>
      </c>
      <c r="Y71" s="2">
        <v>159.5</v>
      </c>
      <c r="Z71">
        <v>0.4</v>
      </c>
      <c r="AA71">
        <v>0.45</v>
      </c>
      <c r="AB71">
        <v>0.92826249999999988</v>
      </c>
      <c r="AC71">
        <v>2.3250000000000002</v>
      </c>
      <c r="AE71">
        <v>2.1677538457235226</v>
      </c>
      <c r="AF71">
        <v>5</v>
      </c>
    </row>
    <row r="72" spans="1:33" x14ac:dyDescent="0.2">
      <c r="A72">
        <v>4842</v>
      </c>
      <c r="B72" t="s">
        <v>11</v>
      </c>
      <c r="C72" t="s">
        <v>3</v>
      </c>
      <c r="D72">
        <v>112</v>
      </c>
      <c r="E72" t="s">
        <v>12</v>
      </c>
      <c r="F72" t="s">
        <v>13</v>
      </c>
      <c r="G72" s="3">
        <v>45737</v>
      </c>
      <c r="H72" s="3"/>
      <c r="I72" s="7">
        <v>185</v>
      </c>
      <c r="J72" s="7">
        <v>0.35</v>
      </c>
      <c r="K72">
        <v>2.6182523773713982</v>
      </c>
      <c r="L72" s="3">
        <v>45746</v>
      </c>
      <c r="M72">
        <v>13.2</v>
      </c>
      <c r="N72" s="3">
        <v>45749</v>
      </c>
      <c r="O72" t="s">
        <v>18</v>
      </c>
      <c r="P72" s="6" t="s">
        <v>19</v>
      </c>
      <c r="Q72" s="2"/>
      <c r="X72">
        <v>185</v>
      </c>
      <c r="Y72" s="2"/>
      <c r="Z72">
        <v>0.35</v>
      </c>
      <c r="AB72">
        <v>2.6025624999999999</v>
      </c>
      <c r="AF72">
        <v>2</v>
      </c>
    </row>
    <row r="73" spans="1:33" x14ac:dyDescent="0.2">
      <c r="A73">
        <v>4852</v>
      </c>
      <c r="B73" t="s">
        <v>15</v>
      </c>
      <c r="C73" t="s">
        <v>3</v>
      </c>
      <c r="D73">
        <v>112</v>
      </c>
      <c r="E73" t="s">
        <v>21</v>
      </c>
      <c r="F73" t="s">
        <v>13</v>
      </c>
      <c r="G73" s="3">
        <v>45737</v>
      </c>
      <c r="H73" s="3"/>
      <c r="I73" s="7">
        <v>206.5</v>
      </c>
      <c r="J73" s="7">
        <v>0.35</v>
      </c>
      <c r="K73">
        <v>3.3073649422823603</v>
      </c>
      <c r="L73" s="3">
        <v>45747</v>
      </c>
      <c r="M73">
        <v>15.06</v>
      </c>
      <c r="N73" s="3">
        <v>45750</v>
      </c>
      <c r="O73" t="s">
        <v>18</v>
      </c>
      <c r="Q73" s="2">
        <v>173</v>
      </c>
      <c r="S73">
        <v>185</v>
      </c>
      <c r="U73">
        <v>0.6</v>
      </c>
      <c r="V73">
        <v>0.6</v>
      </c>
      <c r="X73">
        <v>206.5</v>
      </c>
      <c r="Y73" s="2">
        <v>179</v>
      </c>
      <c r="Z73">
        <v>0.35</v>
      </c>
      <c r="AA73">
        <v>0.6</v>
      </c>
      <c r="AB73">
        <v>3.1824374999999998</v>
      </c>
      <c r="AC73">
        <v>6.2435375000000004</v>
      </c>
      <c r="AE73">
        <v>6.4886292482806827</v>
      </c>
      <c r="AF73">
        <v>6</v>
      </c>
    </row>
    <row r="74" spans="1:33" x14ac:dyDescent="0.2">
      <c r="A74">
        <v>4891</v>
      </c>
      <c r="B74" t="s">
        <v>11</v>
      </c>
      <c r="C74" t="s">
        <v>2</v>
      </c>
      <c r="D74">
        <v>116</v>
      </c>
      <c r="E74" t="s">
        <v>12</v>
      </c>
      <c r="F74" t="s">
        <v>16</v>
      </c>
      <c r="G74" s="3">
        <v>45737</v>
      </c>
      <c r="H74" s="3"/>
      <c r="I74" s="7">
        <v>189.5</v>
      </c>
      <c r="J74" s="7">
        <v>0.45</v>
      </c>
      <c r="K74">
        <v>0.51491490137640716</v>
      </c>
      <c r="L74" s="3">
        <v>45749</v>
      </c>
      <c r="M74">
        <v>18.16</v>
      </c>
      <c r="N74" s="3">
        <v>45752</v>
      </c>
      <c r="O74" t="s">
        <v>18</v>
      </c>
      <c r="Q74" s="2">
        <v>211</v>
      </c>
      <c r="R74">
        <v>202</v>
      </c>
      <c r="U74">
        <v>0.7</v>
      </c>
      <c r="X74">
        <v>189.5</v>
      </c>
      <c r="Y74" s="2">
        <v>206.5</v>
      </c>
      <c r="Z74">
        <v>0.45</v>
      </c>
      <c r="AA74">
        <v>0.7</v>
      </c>
      <c r="AB74">
        <v>0.53300000000000003</v>
      </c>
      <c r="AC74">
        <v>1.20295</v>
      </c>
      <c r="AE74">
        <v>1.1621329842603172</v>
      </c>
      <c r="AF74">
        <v>4</v>
      </c>
    </row>
    <row r="75" spans="1:33" x14ac:dyDescent="0.2">
      <c r="A75">
        <v>4901</v>
      </c>
      <c r="B75" t="s">
        <v>15</v>
      </c>
      <c r="C75" t="s">
        <v>2</v>
      </c>
      <c r="D75">
        <v>116</v>
      </c>
      <c r="E75" t="s">
        <v>20</v>
      </c>
      <c r="F75" t="s">
        <v>16</v>
      </c>
      <c r="G75" s="3">
        <v>45737</v>
      </c>
      <c r="H75" s="3"/>
      <c r="I75" s="7">
        <v>282</v>
      </c>
      <c r="J75" s="7">
        <v>0.7</v>
      </c>
      <c r="K75">
        <v>0.45300193938398592</v>
      </c>
      <c r="L75" s="3">
        <v>45747</v>
      </c>
      <c r="M75">
        <v>17.61</v>
      </c>
      <c r="N75" s="3">
        <v>45750</v>
      </c>
      <c r="O75" t="s">
        <v>14</v>
      </c>
      <c r="Q75" s="2">
        <v>228</v>
      </c>
      <c r="R75">
        <v>236</v>
      </c>
      <c r="U75">
        <v>0.6</v>
      </c>
      <c r="V75">
        <v>0.5</v>
      </c>
      <c r="X75">
        <v>282</v>
      </c>
      <c r="Y75" s="2">
        <v>232</v>
      </c>
      <c r="Z75">
        <v>0.7</v>
      </c>
      <c r="AA75">
        <v>0.55000000000000004</v>
      </c>
      <c r="AB75">
        <v>0.46891249999999995</v>
      </c>
      <c r="AC75">
        <v>4.9053500000000003</v>
      </c>
      <c r="AE75">
        <v>4.7389077138213116</v>
      </c>
      <c r="AF75">
        <v>4</v>
      </c>
    </row>
    <row r="76" spans="1:33" x14ac:dyDescent="0.2">
      <c r="A76">
        <v>4841</v>
      </c>
      <c r="B76" t="s">
        <v>11</v>
      </c>
      <c r="C76" t="s">
        <v>3</v>
      </c>
      <c r="D76">
        <v>112</v>
      </c>
      <c r="E76" t="s">
        <v>22</v>
      </c>
      <c r="F76" t="s">
        <v>16</v>
      </c>
      <c r="G76" s="3">
        <v>45738</v>
      </c>
      <c r="H76" s="3"/>
      <c r="I76" s="7">
        <v>275</v>
      </c>
      <c r="J76" s="7">
        <v>0.4</v>
      </c>
      <c r="K76">
        <v>0.65766854577515266</v>
      </c>
      <c r="L76" s="3">
        <v>37347</v>
      </c>
      <c r="M76">
        <v>14.45</v>
      </c>
      <c r="N76" s="3">
        <v>45751</v>
      </c>
      <c r="O76" t="s">
        <v>14</v>
      </c>
      <c r="Q76" s="2">
        <v>285</v>
      </c>
      <c r="R76">
        <v>243</v>
      </c>
      <c r="U76">
        <v>0.4</v>
      </c>
      <c r="V76">
        <v>0.3</v>
      </c>
      <c r="X76">
        <v>275</v>
      </c>
      <c r="Y76" s="2">
        <v>264</v>
      </c>
      <c r="Z76">
        <v>0.4</v>
      </c>
      <c r="AA76">
        <v>0.35</v>
      </c>
      <c r="AB76">
        <v>0.70537499999999997</v>
      </c>
      <c r="AC76">
        <v>5.6959125000000004</v>
      </c>
      <c r="AE76">
        <v>5.310682248077284</v>
      </c>
      <c r="AF76">
        <v>5</v>
      </c>
    </row>
    <row r="77" spans="1:33" x14ac:dyDescent="0.2">
      <c r="A77">
        <v>4867</v>
      </c>
      <c r="B77" t="s">
        <v>15</v>
      </c>
      <c r="C77" t="s">
        <v>3</v>
      </c>
      <c r="D77">
        <v>112</v>
      </c>
      <c r="E77" t="s">
        <v>22</v>
      </c>
      <c r="F77" t="s">
        <v>13</v>
      </c>
      <c r="G77" s="3">
        <v>45738</v>
      </c>
      <c r="H77" s="3"/>
      <c r="I77" s="7">
        <v>237.5</v>
      </c>
      <c r="J77" s="7">
        <v>0.55000000000000004</v>
      </c>
      <c r="K77">
        <v>2.0848056981461407</v>
      </c>
      <c r="L77" s="3">
        <v>45748</v>
      </c>
      <c r="M77">
        <v>13.86</v>
      </c>
      <c r="N77" s="3">
        <v>45751</v>
      </c>
      <c r="O77" t="s">
        <v>14</v>
      </c>
      <c r="Q77" s="2">
        <v>250</v>
      </c>
      <c r="R77">
        <v>246</v>
      </c>
      <c r="U77">
        <v>0.5</v>
      </c>
      <c r="V77">
        <v>0.4</v>
      </c>
      <c r="X77">
        <v>237.5</v>
      </c>
      <c r="Y77" s="2">
        <v>248</v>
      </c>
      <c r="Z77">
        <v>0.55000000000000004</v>
      </c>
      <c r="AA77">
        <v>0.45</v>
      </c>
      <c r="AB77">
        <v>2.0723124999999998</v>
      </c>
      <c r="AC77">
        <v>0.89098749999999993</v>
      </c>
      <c r="AE77">
        <v>0.89635893089337859</v>
      </c>
      <c r="AF77">
        <v>2</v>
      </c>
    </row>
    <row r="78" spans="1:33" x14ac:dyDescent="0.2">
      <c r="A78">
        <v>4882</v>
      </c>
      <c r="B78" t="s">
        <v>11</v>
      </c>
      <c r="C78" t="s">
        <v>2</v>
      </c>
      <c r="D78">
        <v>116</v>
      </c>
      <c r="E78" t="s">
        <v>20</v>
      </c>
      <c r="F78" t="s">
        <v>16</v>
      </c>
      <c r="G78" s="3">
        <v>45738</v>
      </c>
      <c r="H78" s="3"/>
      <c r="I78" s="7">
        <v>242.5</v>
      </c>
      <c r="J78" s="7">
        <v>0.5</v>
      </c>
      <c r="K78">
        <v>1.2226838247711689</v>
      </c>
      <c r="L78" s="3">
        <v>45750</v>
      </c>
      <c r="M78">
        <v>13.98</v>
      </c>
      <c r="N78" s="3">
        <v>45753</v>
      </c>
      <c r="O78" t="s">
        <v>14</v>
      </c>
      <c r="Q78" s="2">
        <v>172</v>
      </c>
      <c r="U78">
        <v>0.6</v>
      </c>
      <c r="X78">
        <v>242.5</v>
      </c>
      <c r="Y78" s="2">
        <v>172</v>
      </c>
      <c r="Z78">
        <v>0.5</v>
      </c>
      <c r="AA78">
        <v>0.6</v>
      </c>
      <c r="AB78">
        <v>1.1765000000000001</v>
      </c>
      <c r="AC78">
        <v>3.0166624999999998</v>
      </c>
      <c r="AE78">
        <v>3.1350823999521942</v>
      </c>
      <c r="AF78">
        <v>6</v>
      </c>
    </row>
    <row r="79" spans="1:33" x14ac:dyDescent="0.2">
      <c r="A79">
        <v>4915</v>
      </c>
      <c r="B79" t="s">
        <v>15</v>
      </c>
      <c r="C79" t="s">
        <v>2</v>
      </c>
      <c r="D79">
        <v>116</v>
      </c>
      <c r="E79" t="s">
        <v>12</v>
      </c>
      <c r="F79" t="s">
        <v>13</v>
      </c>
      <c r="G79" s="3">
        <v>45738</v>
      </c>
      <c r="H79" s="3"/>
      <c r="I79" s="7">
        <v>193.5</v>
      </c>
      <c r="J79" s="7">
        <v>0.4</v>
      </c>
      <c r="K79">
        <v>0.29808741214971657</v>
      </c>
      <c r="L79" s="3">
        <v>45749</v>
      </c>
      <c r="M79">
        <v>16.3</v>
      </c>
      <c r="N79" s="3">
        <v>45752</v>
      </c>
      <c r="O79" t="s">
        <v>18</v>
      </c>
      <c r="Q79" s="2">
        <v>147</v>
      </c>
      <c r="R79">
        <v>135</v>
      </c>
      <c r="U79">
        <v>0.5</v>
      </c>
      <c r="V79">
        <v>0.4</v>
      </c>
      <c r="X79">
        <v>193.5</v>
      </c>
      <c r="Y79" s="2">
        <v>141</v>
      </c>
      <c r="Z79">
        <v>0.4</v>
      </c>
      <c r="AA79">
        <v>0.45</v>
      </c>
      <c r="AB79">
        <v>0.33337499999999998</v>
      </c>
      <c r="AC79">
        <v>1.7967875</v>
      </c>
      <c r="AE79">
        <v>1.6065983833759545</v>
      </c>
      <c r="AF79">
        <v>3</v>
      </c>
    </row>
    <row r="80" spans="1:33" x14ac:dyDescent="0.2">
      <c r="A80">
        <v>4834</v>
      </c>
      <c r="B80" t="s">
        <v>11</v>
      </c>
      <c r="C80" t="s">
        <v>3</v>
      </c>
      <c r="D80">
        <v>112</v>
      </c>
      <c r="E80" t="s">
        <v>21</v>
      </c>
      <c r="F80" t="s">
        <v>16</v>
      </c>
      <c r="G80" s="3">
        <v>45740</v>
      </c>
      <c r="H80" s="3"/>
      <c r="I80" s="7">
        <v>165</v>
      </c>
      <c r="J80" s="7">
        <v>0.4</v>
      </c>
      <c r="K80">
        <v>0.5128464942022547</v>
      </c>
      <c r="L80" s="3">
        <v>45750</v>
      </c>
      <c r="M80">
        <v>13.35</v>
      </c>
      <c r="N80" s="3">
        <v>45753</v>
      </c>
      <c r="O80" t="s">
        <v>18</v>
      </c>
      <c r="P80" s="6" t="s">
        <v>19</v>
      </c>
      <c r="Q80" s="2"/>
      <c r="X80">
        <v>165</v>
      </c>
      <c r="Y80" s="2"/>
      <c r="Z80">
        <v>0.4</v>
      </c>
      <c r="AB80">
        <v>0.493475</v>
      </c>
      <c r="AF80">
        <v>6</v>
      </c>
    </row>
    <row r="81" spans="1:32" x14ac:dyDescent="0.2">
      <c r="A81">
        <v>4845</v>
      </c>
      <c r="B81" t="s">
        <v>15</v>
      </c>
      <c r="C81" t="s">
        <v>2</v>
      </c>
      <c r="D81">
        <v>112</v>
      </c>
      <c r="E81" t="s">
        <v>20</v>
      </c>
      <c r="F81" t="s">
        <v>13</v>
      </c>
      <c r="G81" s="3">
        <v>45740</v>
      </c>
      <c r="H81" s="3"/>
      <c r="I81" s="7">
        <v>212.5</v>
      </c>
      <c r="J81" s="7">
        <v>0.5</v>
      </c>
      <c r="K81">
        <v>0.40145402671931435</v>
      </c>
      <c r="L81" s="3">
        <v>45750</v>
      </c>
      <c r="M81">
        <v>16.04</v>
      </c>
      <c r="N81" s="3">
        <v>45753</v>
      </c>
      <c r="O81" t="s">
        <v>14</v>
      </c>
      <c r="Q81" s="2">
        <v>206</v>
      </c>
      <c r="R81">
        <v>180</v>
      </c>
      <c r="U81">
        <v>0.4</v>
      </c>
      <c r="X81">
        <v>212.5</v>
      </c>
      <c r="Y81" s="2">
        <v>193</v>
      </c>
      <c r="Z81">
        <v>0.5</v>
      </c>
      <c r="AA81">
        <v>0.4</v>
      </c>
      <c r="AB81">
        <v>0.43057499999999999</v>
      </c>
      <c r="AC81">
        <v>1.9072375000000001</v>
      </c>
      <c r="AE81">
        <v>1.778245774336825</v>
      </c>
      <c r="AF81">
        <v>5</v>
      </c>
    </row>
    <row r="82" spans="1:32" x14ac:dyDescent="0.2">
      <c r="A82">
        <v>4863</v>
      </c>
      <c r="B82" t="s">
        <v>15</v>
      </c>
      <c r="C82" t="s">
        <v>3</v>
      </c>
      <c r="D82">
        <v>112</v>
      </c>
      <c r="E82" t="s">
        <v>21</v>
      </c>
      <c r="F82" t="s">
        <v>13</v>
      </c>
      <c r="G82" s="3">
        <v>45740</v>
      </c>
      <c r="H82" s="3"/>
      <c r="I82" s="7">
        <v>253</v>
      </c>
      <c r="J82" s="7"/>
      <c r="K82">
        <v>0.45368077040004295</v>
      </c>
      <c r="L82" s="3">
        <v>45750</v>
      </c>
      <c r="M82">
        <v>18.5</v>
      </c>
      <c r="N82" s="3">
        <v>45753</v>
      </c>
      <c r="O82" t="s">
        <v>18</v>
      </c>
      <c r="P82" s="6" t="s">
        <v>19</v>
      </c>
      <c r="Q82" s="2"/>
      <c r="X82">
        <v>253</v>
      </c>
      <c r="Y82" s="2"/>
      <c r="AB82">
        <v>0.50738749999999999</v>
      </c>
      <c r="AF82">
        <v>3</v>
      </c>
    </row>
    <row r="83" spans="1:32" x14ac:dyDescent="0.2">
      <c r="A83">
        <v>4892</v>
      </c>
      <c r="B83" t="s">
        <v>11</v>
      </c>
      <c r="C83" t="s">
        <v>3</v>
      </c>
      <c r="D83">
        <v>116</v>
      </c>
      <c r="E83" t="s">
        <v>22</v>
      </c>
      <c r="F83" t="s">
        <v>16</v>
      </c>
      <c r="G83" s="3">
        <v>45740</v>
      </c>
      <c r="H83" s="3"/>
      <c r="I83" s="7">
        <v>240</v>
      </c>
      <c r="J83" s="7">
        <v>0.7</v>
      </c>
      <c r="K83">
        <v>1.7093671440775451</v>
      </c>
      <c r="L83" s="3">
        <v>45751</v>
      </c>
      <c r="M83">
        <v>13.35</v>
      </c>
      <c r="N83" s="3">
        <v>45754</v>
      </c>
      <c r="O83" t="s">
        <v>18</v>
      </c>
      <c r="Q83" s="2">
        <v>266</v>
      </c>
      <c r="R83">
        <v>264</v>
      </c>
      <c r="U83">
        <v>0.6</v>
      </c>
      <c r="V83">
        <v>0.6</v>
      </c>
      <c r="X83">
        <v>240</v>
      </c>
      <c r="Y83" s="2">
        <v>265</v>
      </c>
      <c r="Z83">
        <v>0.7</v>
      </c>
      <c r="AA83">
        <v>0.6</v>
      </c>
      <c r="AB83">
        <v>1.8333625000000002</v>
      </c>
      <c r="AC83">
        <v>6.2869124999999997</v>
      </c>
      <c r="AE83">
        <v>5.8617112901515211</v>
      </c>
      <c r="AF83">
        <v>5</v>
      </c>
    </row>
    <row r="84" spans="1:32" x14ac:dyDescent="0.2">
      <c r="A84">
        <v>4835</v>
      </c>
      <c r="B84" t="s">
        <v>11</v>
      </c>
      <c r="C84" t="s">
        <v>2</v>
      </c>
      <c r="D84">
        <v>112</v>
      </c>
      <c r="E84" t="s">
        <v>17</v>
      </c>
      <c r="F84" t="s">
        <v>16</v>
      </c>
      <c r="G84" s="3">
        <v>45741</v>
      </c>
      <c r="H84" s="3"/>
      <c r="I84" s="7">
        <v>222</v>
      </c>
      <c r="J84" s="7">
        <v>0.55000000000000004</v>
      </c>
      <c r="K84">
        <v>0.30018636680306737</v>
      </c>
      <c r="L84" s="3">
        <v>45751</v>
      </c>
      <c r="M84">
        <v>17.93</v>
      </c>
      <c r="N84" s="3">
        <v>45754</v>
      </c>
      <c r="O84" t="s">
        <v>14</v>
      </c>
      <c r="Q84" s="2"/>
      <c r="R84">
        <v>266</v>
      </c>
      <c r="S84">
        <v>254</v>
      </c>
      <c r="U84">
        <v>0.9</v>
      </c>
      <c r="V84">
        <v>1</v>
      </c>
      <c r="X84">
        <v>222</v>
      </c>
      <c r="Y84" s="2">
        <v>260</v>
      </c>
      <c r="Z84">
        <v>0.55000000000000004</v>
      </c>
      <c r="AA84">
        <v>0.95</v>
      </c>
      <c r="AB84">
        <v>0.29838749999999997</v>
      </c>
      <c r="AC84">
        <v>2.7422374999999999</v>
      </c>
      <c r="AE84">
        <v>2.7587694257840103</v>
      </c>
      <c r="AF84">
        <v>2</v>
      </c>
    </row>
    <row r="85" spans="1:32" x14ac:dyDescent="0.2">
      <c r="A85">
        <v>4854</v>
      </c>
      <c r="B85" t="s">
        <v>15</v>
      </c>
      <c r="C85" t="s">
        <v>3</v>
      </c>
      <c r="D85">
        <v>112</v>
      </c>
      <c r="E85" t="s">
        <v>22</v>
      </c>
      <c r="F85" t="s">
        <v>13</v>
      </c>
      <c r="G85" s="3">
        <v>45741</v>
      </c>
      <c r="H85" s="3"/>
      <c r="I85" s="7">
        <v>180</v>
      </c>
      <c r="J85" s="7">
        <v>0.45</v>
      </c>
      <c r="K85">
        <v>1.8613315025878891E-2</v>
      </c>
      <c r="L85" s="3">
        <v>45751</v>
      </c>
      <c r="M85">
        <v>14.7</v>
      </c>
      <c r="N85" s="3">
        <v>45754</v>
      </c>
      <c r="O85" t="s">
        <v>18</v>
      </c>
      <c r="Q85" s="2">
        <v>303</v>
      </c>
      <c r="S85">
        <v>305</v>
      </c>
      <c r="U85">
        <v>0.5</v>
      </c>
      <c r="V85">
        <v>0.4</v>
      </c>
      <c r="X85">
        <v>180</v>
      </c>
      <c r="Y85" s="2">
        <v>304</v>
      </c>
      <c r="Z85">
        <v>0.45</v>
      </c>
      <c r="AA85">
        <v>0.45</v>
      </c>
      <c r="AB85">
        <v>1.5603309319756448E-2</v>
      </c>
      <c r="AC85">
        <v>0.79720000000000002</v>
      </c>
      <c r="AE85">
        <v>0.95098638593561291</v>
      </c>
      <c r="AF85">
        <v>1</v>
      </c>
    </row>
    <row r="86" spans="1:32" x14ac:dyDescent="0.2">
      <c r="A86">
        <v>4858</v>
      </c>
      <c r="B86" t="s">
        <v>15</v>
      </c>
      <c r="C86" t="s">
        <v>2</v>
      </c>
      <c r="D86">
        <v>112</v>
      </c>
      <c r="E86" t="s">
        <v>17</v>
      </c>
      <c r="F86" t="s">
        <v>13</v>
      </c>
      <c r="G86" s="3">
        <v>45741</v>
      </c>
      <c r="H86" s="3"/>
      <c r="I86" s="7">
        <v>237</v>
      </c>
      <c r="J86" s="7">
        <v>0.35</v>
      </c>
      <c r="K86">
        <v>0.19820754647413011</v>
      </c>
      <c r="L86" s="3">
        <v>45751</v>
      </c>
      <c r="M86">
        <v>15.1</v>
      </c>
      <c r="N86" s="3">
        <v>45754</v>
      </c>
      <c r="O86" t="s">
        <v>14</v>
      </c>
      <c r="Q86" s="2">
        <v>279</v>
      </c>
      <c r="R86">
        <v>261</v>
      </c>
      <c r="U86">
        <v>0.5</v>
      </c>
      <c r="V86">
        <v>0.6</v>
      </c>
      <c r="X86">
        <v>237</v>
      </c>
      <c r="Y86" s="2">
        <v>270</v>
      </c>
      <c r="Z86">
        <v>0.35</v>
      </c>
      <c r="AA86">
        <v>0.55000000000000004</v>
      </c>
      <c r="AB86">
        <v>0.17155987471012674</v>
      </c>
      <c r="AC86">
        <v>11.126987499999998</v>
      </c>
      <c r="AE86">
        <v>11.194067952203579</v>
      </c>
      <c r="AF86">
        <v>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53A43-CFC5-724F-B9FB-C910A8255B28}">
  <dimension ref="A1:Z93"/>
  <sheetViews>
    <sheetView tabSelected="1" zoomScale="125" workbookViewId="0">
      <pane xSplit="1" topLeftCell="H1" activePane="topRight" state="frozen"/>
      <selection pane="topRight" activeCell="Y16" sqref="Y16"/>
    </sheetView>
  </sheetViews>
  <sheetFormatPr baseColWidth="10" defaultRowHeight="16" x14ac:dyDescent="0.2"/>
  <cols>
    <col min="10" max="10" width="7.83203125" bestFit="1" customWidth="1"/>
    <col min="11" max="11" width="8" bestFit="1" customWidth="1"/>
    <col min="12" max="12" width="10.5" bestFit="1" customWidth="1"/>
    <col min="13" max="13" width="9.5" bestFit="1" customWidth="1"/>
    <col min="14" max="14" width="8.6640625" bestFit="1" customWidth="1"/>
    <col min="15" max="15" width="8.5" bestFit="1" customWidth="1"/>
    <col min="16" max="16" width="10.5" bestFit="1" customWidth="1"/>
    <col min="17" max="17" width="8.1640625" bestFit="1" customWidth="1"/>
    <col min="18" max="18" width="8.33203125" bestFit="1" customWidth="1"/>
    <col min="20" max="20" width="11.33203125" bestFit="1" customWidth="1"/>
    <col min="21" max="21" width="10.33203125" bestFit="1" customWidth="1"/>
    <col min="22" max="22" width="9.5" bestFit="1" customWidth="1"/>
    <col min="23" max="23" width="9.33203125" bestFit="1" customWidth="1"/>
    <col min="24" max="24" width="11.33203125" bestFit="1" customWidth="1"/>
    <col min="25" max="25" width="11.5" bestFit="1" customWidth="1"/>
  </cols>
  <sheetData>
    <row r="1" spans="1:26" x14ac:dyDescent="0.2">
      <c r="A1" t="s">
        <v>52</v>
      </c>
      <c r="B1" t="s">
        <v>0</v>
      </c>
      <c r="C1" t="s">
        <v>1</v>
      </c>
      <c r="D1" t="s">
        <v>6</v>
      </c>
      <c r="E1" t="s">
        <v>7</v>
      </c>
      <c r="F1" t="s">
        <v>48</v>
      </c>
      <c r="G1" t="s">
        <v>49</v>
      </c>
      <c r="H1" t="s">
        <v>53</v>
      </c>
      <c r="I1" t="s">
        <v>24</v>
      </c>
      <c r="J1" t="s">
        <v>58</v>
      </c>
      <c r="K1" t="s">
        <v>50</v>
      </c>
      <c r="L1" t="s">
        <v>42</v>
      </c>
      <c r="M1" t="s">
        <v>67</v>
      </c>
      <c r="N1" t="s">
        <v>70</v>
      </c>
      <c r="O1" t="s">
        <v>33</v>
      </c>
      <c r="P1" t="s">
        <v>54</v>
      </c>
      <c r="Q1" t="s">
        <v>25</v>
      </c>
      <c r="R1" t="s">
        <v>8</v>
      </c>
      <c r="S1" t="s">
        <v>55</v>
      </c>
      <c r="T1" t="s">
        <v>43</v>
      </c>
      <c r="U1" t="s">
        <v>133</v>
      </c>
      <c r="V1" t="s">
        <v>60</v>
      </c>
      <c r="W1" t="s">
        <v>34</v>
      </c>
      <c r="X1" t="s">
        <v>56</v>
      </c>
      <c r="Y1" t="s">
        <v>57</v>
      </c>
    </row>
    <row r="2" spans="1:26" x14ac:dyDescent="0.2">
      <c r="A2">
        <v>4818</v>
      </c>
      <c r="B2" t="s">
        <v>11</v>
      </c>
      <c r="C2" t="s">
        <v>2</v>
      </c>
      <c r="D2" t="s">
        <v>12</v>
      </c>
      <c r="E2" t="s">
        <v>13</v>
      </c>
      <c r="F2" t="s">
        <v>14</v>
      </c>
      <c r="G2">
        <v>17</v>
      </c>
      <c r="H2">
        <v>16.600000000000001</v>
      </c>
      <c r="I2" s="3">
        <v>45719</v>
      </c>
      <c r="J2" t="s">
        <v>71</v>
      </c>
      <c r="K2">
        <v>17.989999999999998</v>
      </c>
      <c r="L2">
        <v>237</v>
      </c>
      <c r="M2">
        <v>0.4</v>
      </c>
      <c r="N2">
        <v>57</v>
      </c>
      <c r="O2" s="4">
        <v>1.5693874999999999</v>
      </c>
      <c r="Q2" s="3">
        <v>45730</v>
      </c>
      <c r="R2">
        <v>17.39</v>
      </c>
      <c r="S2" s="3">
        <v>45733</v>
      </c>
      <c r="T2">
        <v>191.5</v>
      </c>
      <c r="U2">
        <v>0.4</v>
      </c>
      <c r="V2">
        <v>56</v>
      </c>
      <c r="W2">
        <v>0.53481250000000002</v>
      </c>
      <c r="X2">
        <v>0.41339277200000002</v>
      </c>
      <c r="Z2" s="9"/>
    </row>
    <row r="3" spans="1:26" x14ac:dyDescent="0.2">
      <c r="A3">
        <v>4819</v>
      </c>
      <c r="B3" t="s">
        <v>11</v>
      </c>
      <c r="C3" t="s">
        <v>2</v>
      </c>
      <c r="D3" t="s">
        <v>22</v>
      </c>
      <c r="E3" t="s">
        <v>13</v>
      </c>
      <c r="F3" t="s">
        <v>14</v>
      </c>
      <c r="G3">
        <v>15.44</v>
      </c>
      <c r="H3">
        <v>16.8</v>
      </c>
      <c r="I3" s="3">
        <v>45721</v>
      </c>
      <c r="J3" t="s">
        <v>79</v>
      </c>
      <c r="K3">
        <v>15.58</v>
      </c>
      <c r="L3">
        <v>198.5</v>
      </c>
      <c r="M3">
        <v>0.45</v>
      </c>
      <c r="N3">
        <v>57.5</v>
      </c>
      <c r="O3" s="4">
        <v>1.560331E-2</v>
      </c>
      <c r="P3">
        <v>1.0173678319999999</v>
      </c>
      <c r="Q3" s="3">
        <v>45732</v>
      </c>
      <c r="R3">
        <v>15.98</v>
      </c>
      <c r="S3" s="3">
        <v>45735</v>
      </c>
      <c r="T3">
        <v>190.5</v>
      </c>
      <c r="U3">
        <v>0.55000000000000004</v>
      </c>
      <c r="V3">
        <v>60.5</v>
      </c>
      <c r="W3">
        <v>1.3400874999999999</v>
      </c>
      <c r="Z3" s="9"/>
    </row>
    <row r="4" spans="1:26" x14ac:dyDescent="0.2">
      <c r="A4">
        <v>4820</v>
      </c>
      <c r="B4" t="s">
        <v>11</v>
      </c>
      <c r="C4" t="s">
        <v>2</v>
      </c>
      <c r="D4" t="s">
        <v>20</v>
      </c>
      <c r="E4" t="s">
        <v>13</v>
      </c>
      <c r="F4" t="s">
        <v>14</v>
      </c>
      <c r="G4">
        <v>14.34</v>
      </c>
      <c r="H4">
        <v>16.600000000000001</v>
      </c>
      <c r="I4" s="3">
        <v>45723</v>
      </c>
      <c r="J4" t="s">
        <v>84</v>
      </c>
      <c r="K4">
        <v>14.1</v>
      </c>
      <c r="L4">
        <v>191.5</v>
      </c>
      <c r="M4">
        <v>0.5</v>
      </c>
      <c r="O4" s="4">
        <v>2.1747375</v>
      </c>
      <c r="P4">
        <v>0.62237086799999997</v>
      </c>
      <c r="Q4" s="3">
        <v>45734</v>
      </c>
      <c r="R4">
        <v>14.53</v>
      </c>
      <c r="S4" s="3">
        <v>45738</v>
      </c>
      <c r="T4">
        <v>269.5</v>
      </c>
      <c r="U4">
        <v>0.6</v>
      </c>
      <c r="W4">
        <v>2.5804500000000004</v>
      </c>
      <c r="X4">
        <v>0.64450755299999996</v>
      </c>
      <c r="Y4">
        <v>40.893909999999998</v>
      </c>
      <c r="Z4" s="9"/>
    </row>
    <row r="5" spans="1:26" x14ac:dyDescent="0.2">
      <c r="A5">
        <v>4821</v>
      </c>
      <c r="B5" t="s">
        <v>11</v>
      </c>
      <c r="G5">
        <v>16.07</v>
      </c>
      <c r="H5">
        <v>17.399999999999999</v>
      </c>
      <c r="I5" s="3">
        <v>45720</v>
      </c>
      <c r="K5">
        <v>16.079999999999998</v>
      </c>
      <c r="L5">
        <v>196</v>
      </c>
      <c r="M5">
        <v>0.4</v>
      </c>
      <c r="N5">
        <v>57</v>
      </c>
      <c r="O5" s="4">
        <v>0.92542500000000005</v>
      </c>
      <c r="S5" s="3"/>
      <c r="Z5" s="9"/>
    </row>
    <row r="6" spans="1:26" x14ac:dyDescent="0.2">
      <c r="A6">
        <v>4822</v>
      </c>
      <c r="B6" t="s">
        <v>11</v>
      </c>
      <c r="C6" t="s">
        <v>3</v>
      </c>
      <c r="D6" t="s">
        <v>12</v>
      </c>
      <c r="E6" t="s">
        <v>13</v>
      </c>
      <c r="F6" t="s">
        <v>14</v>
      </c>
      <c r="G6">
        <v>14.79</v>
      </c>
      <c r="H6">
        <v>17.3</v>
      </c>
      <c r="I6" s="8">
        <v>45722</v>
      </c>
      <c r="J6" t="s">
        <v>82</v>
      </c>
      <c r="K6">
        <v>16.45</v>
      </c>
      <c r="L6">
        <v>204</v>
      </c>
      <c r="M6">
        <v>0.4</v>
      </c>
      <c r="N6">
        <v>58</v>
      </c>
      <c r="O6" s="4">
        <v>0.64023750000000001</v>
      </c>
      <c r="Q6" s="3">
        <v>45733</v>
      </c>
      <c r="R6">
        <v>16.329999999999998</v>
      </c>
      <c r="S6" s="3">
        <v>45736</v>
      </c>
      <c r="T6">
        <v>220</v>
      </c>
      <c r="U6">
        <v>0.55000000000000004</v>
      </c>
      <c r="V6">
        <v>61</v>
      </c>
      <c r="W6">
        <v>2.479225</v>
      </c>
      <c r="X6">
        <v>0.77833505599999997</v>
      </c>
      <c r="Z6" s="9"/>
    </row>
    <row r="7" spans="1:26" x14ac:dyDescent="0.2">
      <c r="A7">
        <v>4823</v>
      </c>
      <c r="B7" t="s">
        <v>11</v>
      </c>
      <c r="C7" t="s">
        <v>3</v>
      </c>
      <c r="D7" t="s">
        <v>22</v>
      </c>
      <c r="E7" t="s">
        <v>13</v>
      </c>
      <c r="F7" t="s">
        <v>18</v>
      </c>
      <c r="G7">
        <v>12.29</v>
      </c>
      <c r="H7">
        <v>16.100000000000001</v>
      </c>
      <c r="I7" s="3">
        <v>45736</v>
      </c>
      <c r="J7" t="s">
        <v>77</v>
      </c>
      <c r="K7">
        <v>14.43</v>
      </c>
      <c r="L7">
        <v>239</v>
      </c>
      <c r="M7">
        <v>0.35</v>
      </c>
      <c r="N7">
        <v>54</v>
      </c>
      <c r="O7" s="4">
        <v>0.70256249999999998</v>
      </c>
      <c r="P7">
        <v>1.231688447</v>
      </c>
      <c r="Q7" s="8">
        <v>45745</v>
      </c>
      <c r="R7">
        <v>14.7</v>
      </c>
      <c r="S7" s="8">
        <v>45748</v>
      </c>
      <c r="T7">
        <v>328.5</v>
      </c>
      <c r="U7">
        <v>0.35</v>
      </c>
      <c r="V7">
        <v>50</v>
      </c>
      <c r="W7">
        <v>1.1008624999999999</v>
      </c>
      <c r="X7">
        <v>1.446545484</v>
      </c>
      <c r="Y7">
        <v>44.19059</v>
      </c>
      <c r="Z7" s="9"/>
    </row>
    <row r="8" spans="1:26" x14ac:dyDescent="0.2">
      <c r="A8">
        <v>4824</v>
      </c>
      <c r="B8" t="s">
        <v>11</v>
      </c>
      <c r="C8" t="s">
        <v>3</v>
      </c>
      <c r="D8" t="s">
        <v>23</v>
      </c>
      <c r="E8" t="s">
        <v>16</v>
      </c>
      <c r="F8" t="s">
        <v>14</v>
      </c>
      <c r="G8">
        <v>12.51</v>
      </c>
      <c r="H8">
        <v>16.5</v>
      </c>
      <c r="I8" s="3">
        <v>45724</v>
      </c>
      <c r="J8" t="s">
        <v>76</v>
      </c>
      <c r="K8">
        <v>14.53</v>
      </c>
      <c r="L8">
        <v>226.5</v>
      </c>
      <c r="M8">
        <v>0.4</v>
      </c>
      <c r="N8">
        <v>50</v>
      </c>
      <c r="O8" s="4">
        <v>1.9456249999999999</v>
      </c>
      <c r="P8">
        <v>0.83302945299999998</v>
      </c>
      <c r="Q8" s="3">
        <v>45749</v>
      </c>
      <c r="R8">
        <v>15.41</v>
      </c>
      <c r="S8" s="8">
        <v>45752</v>
      </c>
      <c r="T8">
        <v>220</v>
      </c>
      <c r="U8">
        <v>0.64999999999999991</v>
      </c>
      <c r="V8">
        <v>60.5</v>
      </c>
      <c r="W8">
        <v>4.4021875000000001</v>
      </c>
      <c r="X8">
        <v>0.68967364900000006</v>
      </c>
      <c r="Y8">
        <v>44.536720000000003</v>
      </c>
      <c r="Z8" s="9"/>
    </row>
    <row r="9" spans="1:26" x14ac:dyDescent="0.2">
      <c r="A9">
        <v>4825</v>
      </c>
      <c r="B9" t="s">
        <v>11</v>
      </c>
      <c r="C9" t="s">
        <v>3</v>
      </c>
      <c r="D9" t="s">
        <v>22</v>
      </c>
      <c r="E9" t="s">
        <v>13</v>
      </c>
      <c r="F9" t="s">
        <v>14</v>
      </c>
      <c r="G9">
        <v>13.02</v>
      </c>
      <c r="H9">
        <v>16.600000000000001</v>
      </c>
      <c r="I9" s="8">
        <v>45725</v>
      </c>
      <c r="J9">
        <v>77257</v>
      </c>
      <c r="K9">
        <v>13.31</v>
      </c>
      <c r="L9">
        <v>168.5</v>
      </c>
      <c r="M9">
        <v>0.35</v>
      </c>
      <c r="N9">
        <v>61</v>
      </c>
      <c r="O9" s="4">
        <v>1.6973875</v>
      </c>
      <c r="P9">
        <v>0.52942210999999995</v>
      </c>
      <c r="Q9" s="8">
        <v>45735</v>
      </c>
      <c r="R9">
        <v>14.3</v>
      </c>
      <c r="S9" s="8">
        <v>45739</v>
      </c>
      <c r="T9">
        <v>172</v>
      </c>
      <c r="U9">
        <v>0.6</v>
      </c>
      <c r="V9">
        <v>59</v>
      </c>
      <c r="W9">
        <v>2.7062124999999999</v>
      </c>
      <c r="X9">
        <v>0.91402446000000004</v>
      </c>
    </row>
    <row r="10" spans="1:26" x14ac:dyDescent="0.2">
      <c r="A10">
        <v>4826</v>
      </c>
      <c r="B10" t="s">
        <v>11</v>
      </c>
      <c r="C10" t="s">
        <v>2</v>
      </c>
      <c r="D10" t="s">
        <v>23</v>
      </c>
      <c r="E10" t="s">
        <v>16</v>
      </c>
      <c r="F10" t="s">
        <v>14</v>
      </c>
      <c r="G10">
        <v>14.25</v>
      </c>
      <c r="H10">
        <v>17.5</v>
      </c>
      <c r="I10" s="3">
        <v>45727</v>
      </c>
      <c r="J10" t="s">
        <v>99</v>
      </c>
      <c r="K10">
        <v>14.75</v>
      </c>
      <c r="L10">
        <v>192</v>
      </c>
      <c r="M10">
        <v>0.4</v>
      </c>
      <c r="N10">
        <v>64</v>
      </c>
      <c r="O10" s="4">
        <v>1.3126625000000001</v>
      </c>
      <c r="P10">
        <v>0.83937802699999997</v>
      </c>
      <c r="Q10" s="8">
        <v>45738</v>
      </c>
      <c r="R10">
        <v>15.27</v>
      </c>
      <c r="S10" s="3">
        <v>45742</v>
      </c>
      <c r="T10">
        <v>232</v>
      </c>
      <c r="U10">
        <v>0.6</v>
      </c>
      <c r="V10">
        <v>58.5</v>
      </c>
      <c r="W10">
        <v>4.3848374999999997</v>
      </c>
      <c r="X10">
        <v>0.82191708299999999</v>
      </c>
      <c r="Y10">
        <v>44.595979999999997</v>
      </c>
    </row>
    <row r="11" spans="1:26" x14ac:dyDescent="0.2">
      <c r="A11">
        <v>4827</v>
      </c>
      <c r="B11" t="s">
        <v>11</v>
      </c>
      <c r="C11" t="s">
        <v>3</v>
      </c>
      <c r="D11" t="s">
        <v>12</v>
      </c>
      <c r="E11" t="s">
        <v>16</v>
      </c>
      <c r="F11" t="s">
        <v>14</v>
      </c>
      <c r="G11">
        <v>15.31</v>
      </c>
      <c r="H11">
        <v>17.5</v>
      </c>
      <c r="I11" s="3">
        <v>45729</v>
      </c>
      <c r="J11">
        <v>77247</v>
      </c>
      <c r="K11">
        <v>16</v>
      </c>
      <c r="L11">
        <v>265.5</v>
      </c>
      <c r="M11">
        <v>0.55000000000000004</v>
      </c>
      <c r="N11">
        <v>54</v>
      </c>
      <c r="O11" s="4">
        <v>2.8849499999999999</v>
      </c>
      <c r="P11">
        <v>0.71743656200000006</v>
      </c>
      <c r="Q11" s="3">
        <v>45740</v>
      </c>
      <c r="R11">
        <v>16.12</v>
      </c>
      <c r="S11" s="3">
        <v>45743</v>
      </c>
      <c r="T11" t="s">
        <v>140</v>
      </c>
      <c r="U11" t="s">
        <v>140</v>
      </c>
      <c r="V11" t="s">
        <v>140</v>
      </c>
      <c r="Y11">
        <v>46.58972</v>
      </c>
    </row>
    <row r="12" spans="1:26" x14ac:dyDescent="0.2">
      <c r="A12">
        <v>4828</v>
      </c>
      <c r="B12" t="s">
        <v>11</v>
      </c>
      <c r="G12">
        <v>15.43</v>
      </c>
      <c r="H12">
        <v>17.600000000000001</v>
      </c>
      <c r="I12" s="3">
        <v>45726</v>
      </c>
      <c r="J12" t="s">
        <v>91</v>
      </c>
      <c r="K12">
        <v>15.79</v>
      </c>
      <c r="L12">
        <v>188</v>
      </c>
      <c r="M12">
        <v>0.4</v>
      </c>
      <c r="N12">
        <v>62</v>
      </c>
      <c r="O12" s="4">
        <v>0.96484999999999999</v>
      </c>
      <c r="Q12" s="3">
        <v>45736</v>
      </c>
      <c r="R12">
        <v>15.36</v>
      </c>
      <c r="S12" s="3"/>
    </row>
    <row r="13" spans="1:26" x14ac:dyDescent="0.2">
      <c r="A13">
        <v>4829</v>
      </c>
      <c r="B13" t="s">
        <v>11</v>
      </c>
      <c r="C13" t="s">
        <v>3</v>
      </c>
      <c r="D13" t="s">
        <v>21</v>
      </c>
      <c r="E13" t="s">
        <v>16</v>
      </c>
      <c r="F13" t="s">
        <v>18</v>
      </c>
      <c r="G13">
        <v>14.33</v>
      </c>
      <c r="H13">
        <v>18.100000000000001</v>
      </c>
      <c r="I13" s="8">
        <v>45728</v>
      </c>
      <c r="J13" t="s">
        <v>95</v>
      </c>
      <c r="K13">
        <v>15.26</v>
      </c>
      <c r="L13">
        <v>187.5</v>
      </c>
      <c r="M13">
        <v>0.4</v>
      </c>
      <c r="P13">
        <v>0.87445572699999996</v>
      </c>
      <c r="Q13" s="3">
        <v>45738</v>
      </c>
      <c r="R13">
        <v>15.26</v>
      </c>
      <c r="S13" s="8">
        <v>45741</v>
      </c>
      <c r="T13">
        <v>186.5</v>
      </c>
      <c r="U13">
        <v>0.3</v>
      </c>
      <c r="V13">
        <v>57.5</v>
      </c>
      <c r="X13">
        <v>0.67216754000000001</v>
      </c>
      <c r="Y13">
        <v>44.270029999999998</v>
      </c>
    </row>
    <row r="14" spans="1:26" x14ac:dyDescent="0.2">
      <c r="A14">
        <v>4830</v>
      </c>
      <c r="B14" t="s">
        <v>11</v>
      </c>
      <c r="C14" t="s">
        <v>3</v>
      </c>
      <c r="D14" t="s">
        <v>20</v>
      </c>
      <c r="E14" t="s">
        <v>13</v>
      </c>
      <c r="F14" t="s">
        <v>14</v>
      </c>
      <c r="G14">
        <v>16.54</v>
      </c>
      <c r="H14">
        <v>17.399999999999999</v>
      </c>
      <c r="I14" s="3">
        <v>45723</v>
      </c>
      <c r="J14" t="s">
        <v>75</v>
      </c>
      <c r="K14">
        <v>16.61</v>
      </c>
      <c r="L14">
        <v>241.5</v>
      </c>
      <c r="M14">
        <v>0.3</v>
      </c>
      <c r="O14" s="4">
        <v>0.65133750000000001</v>
      </c>
      <c r="P14">
        <v>0.71934383599999996</v>
      </c>
      <c r="Q14" s="3">
        <v>45731</v>
      </c>
      <c r="R14">
        <v>17.059999999999999</v>
      </c>
      <c r="S14" s="3">
        <v>45734</v>
      </c>
      <c r="T14">
        <v>295.5</v>
      </c>
      <c r="U14">
        <v>0.8</v>
      </c>
      <c r="V14">
        <v>50</v>
      </c>
      <c r="W14">
        <v>6.9507625000000006</v>
      </c>
      <c r="X14">
        <v>0.59144155799999998</v>
      </c>
      <c r="Y14">
        <v>45.160130199999998</v>
      </c>
    </row>
    <row r="15" spans="1:26" x14ac:dyDescent="0.2">
      <c r="A15">
        <v>4831</v>
      </c>
      <c r="B15" t="s">
        <v>11</v>
      </c>
      <c r="C15" t="s">
        <v>2</v>
      </c>
      <c r="D15" t="s">
        <v>21</v>
      </c>
      <c r="E15" t="s">
        <v>16</v>
      </c>
      <c r="F15" t="s">
        <v>18</v>
      </c>
      <c r="G15">
        <v>14.46</v>
      </c>
      <c r="H15">
        <v>17.600000000000001</v>
      </c>
      <c r="I15" s="3">
        <v>45730</v>
      </c>
      <c r="J15" t="s">
        <v>103</v>
      </c>
      <c r="K15">
        <v>15.46</v>
      </c>
      <c r="L15">
        <v>190.5</v>
      </c>
      <c r="M15">
        <v>0.6</v>
      </c>
      <c r="N15">
        <v>33.5</v>
      </c>
      <c r="O15" s="4">
        <v>1.4191</v>
      </c>
      <c r="P15">
        <v>1.014036213</v>
      </c>
      <c r="Q15" s="3">
        <v>45741</v>
      </c>
      <c r="R15">
        <v>16.13</v>
      </c>
      <c r="S15" s="3">
        <v>45744</v>
      </c>
      <c r="T15">
        <v>178.5</v>
      </c>
      <c r="U15">
        <v>0.55000000000000004</v>
      </c>
      <c r="V15">
        <v>61.5</v>
      </c>
      <c r="W15">
        <v>2.3150875000000002</v>
      </c>
      <c r="X15">
        <v>0.66003663199999996</v>
      </c>
      <c r="Y15">
        <v>43.056939999999997</v>
      </c>
    </row>
    <row r="16" spans="1:26" x14ac:dyDescent="0.2">
      <c r="A16">
        <v>4832</v>
      </c>
      <c r="B16" t="s">
        <v>11</v>
      </c>
      <c r="C16" t="s">
        <v>2</v>
      </c>
      <c r="D16" t="s">
        <v>17</v>
      </c>
      <c r="E16" t="s">
        <v>13</v>
      </c>
      <c r="F16" t="s">
        <v>18</v>
      </c>
      <c r="G16">
        <v>13.66</v>
      </c>
      <c r="H16">
        <v>16.600000000000001</v>
      </c>
      <c r="I16" s="3">
        <v>45732</v>
      </c>
      <c r="J16" t="s">
        <v>111</v>
      </c>
      <c r="K16">
        <v>13.67</v>
      </c>
      <c r="L16">
        <v>275</v>
      </c>
      <c r="M16">
        <v>0.5</v>
      </c>
      <c r="N16">
        <v>50</v>
      </c>
      <c r="O16" s="4">
        <v>0.54796250000000002</v>
      </c>
      <c r="P16">
        <v>0.59828804300000005</v>
      </c>
      <c r="Q16" s="3">
        <v>45743</v>
      </c>
      <c r="R16">
        <v>13.36</v>
      </c>
      <c r="S16" s="3">
        <v>45746</v>
      </c>
      <c r="V16">
        <v>56</v>
      </c>
      <c r="W16">
        <v>0.56542500000000007</v>
      </c>
      <c r="X16">
        <v>0.35447414900000002</v>
      </c>
      <c r="Y16">
        <v>42.690759999999997</v>
      </c>
    </row>
    <row r="17" spans="1:25" x14ac:dyDescent="0.2">
      <c r="A17">
        <v>4833</v>
      </c>
      <c r="B17" t="s">
        <v>11</v>
      </c>
      <c r="C17" t="s">
        <v>2</v>
      </c>
      <c r="D17" t="s">
        <v>22</v>
      </c>
      <c r="E17" t="s">
        <v>16</v>
      </c>
      <c r="F17" t="s">
        <v>14</v>
      </c>
      <c r="G17">
        <v>14.54</v>
      </c>
      <c r="H17">
        <v>15.9</v>
      </c>
      <c r="I17" s="3">
        <v>45731</v>
      </c>
      <c r="J17" t="s">
        <v>107</v>
      </c>
      <c r="K17">
        <v>15.75</v>
      </c>
      <c r="L17">
        <v>150</v>
      </c>
      <c r="M17">
        <v>0.64999999999999991</v>
      </c>
      <c r="N17">
        <v>60</v>
      </c>
      <c r="O17" s="4">
        <v>1.14425</v>
      </c>
      <c r="Q17" s="3">
        <v>45742</v>
      </c>
      <c r="R17">
        <v>15.49</v>
      </c>
      <c r="S17" s="3">
        <v>45745</v>
      </c>
      <c r="T17">
        <v>162</v>
      </c>
      <c r="U17">
        <v>0.3</v>
      </c>
      <c r="V17">
        <v>62</v>
      </c>
      <c r="W17">
        <v>0.76126250000000006</v>
      </c>
      <c r="X17">
        <v>0.83837850300000005</v>
      </c>
      <c r="Y17">
        <v>41.384349999999998</v>
      </c>
    </row>
    <row r="18" spans="1:25" x14ac:dyDescent="0.2">
      <c r="A18">
        <v>4834</v>
      </c>
      <c r="B18" t="s">
        <v>11</v>
      </c>
      <c r="C18" t="s">
        <v>3</v>
      </c>
      <c r="D18" t="s">
        <v>21</v>
      </c>
      <c r="E18" t="s">
        <v>16</v>
      </c>
      <c r="F18" t="s">
        <v>18</v>
      </c>
      <c r="G18">
        <v>12.03</v>
      </c>
      <c r="H18">
        <v>14.6</v>
      </c>
      <c r="I18" s="3">
        <v>45740</v>
      </c>
      <c r="J18" t="s">
        <v>78</v>
      </c>
      <c r="K18">
        <v>12.51</v>
      </c>
      <c r="L18">
        <v>165</v>
      </c>
      <c r="M18">
        <v>0.4</v>
      </c>
      <c r="N18">
        <v>62.5</v>
      </c>
      <c r="O18" s="4">
        <v>0.493475</v>
      </c>
      <c r="P18">
        <v>0.83729568499999996</v>
      </c>
      <c r="Q18" s="8">
        <v>45750</v>
      </c>
      <c r="R18">
        <v>13.35</v>
      </c>
      <c r="S18" s="3">
        <v>45753</v>
      </c>
      <c r="Y18">
        <v>45.975520000000003</v>
      </c>
    </row>
    <row r="19" spans="1:25" x14ac:dyDescent="0.2">
      <c r="A19">
        <v>4835</v>
      </c>
      <c r="B19" t="s">
        <v>11</v>
      </c>
      <c r="C19" t="s">
        <v>3</v>
      </c>
      <c r="D19" t="s">
        <v>17</v>
      </c>
      <c r="E19" t="s">
        <v>16</v>
      </c>
      <c r="F19" t="s">
        <v>14</v>
      </c>
      <c r="G19">
        <v>18.38</v>
      </c>
      <c r="H19">
        <v>18.600000000000001</v>
      </c>
      <c r="I19" s="3">
        <v>45741</v>
      </c>
      <c r="J19" t="s">
        <v>81</v>
      </c>
      <c r="K19">
        <v>17.79</v>
      </c>
      <c r="L19">
        <v>222</v>
      </c>
      <c r="M19">
        <v>0.55000000000000004</v>
      </c>
      <c r="N19">
        <v>57.5</v>
      </c>
      <c r="O19" s="4">
        <v>0.29838750000000003</v>
      </c>
      <c r="P19">
        <v>0.47862128999999998</v>
      </c>
      <c r="Q19" s="3">
        <v>45751</v>
      </c>
      <c r="R19">
        <v>17.93</v>
      </c>
      <c r="S19" s="3">
        <v>45754</v>
      </c>
      <c r="T19">
        <v>255.5</v>
      </c>
      <c r="U19">
        <v>0.95</v>
      </c>
      <c r="V19">
        <v>54.5</v>
      </c>
      <c r="W19">
        <v>2.7422374999999999</v>
      </c>
      <c r="X19">
        <v>0.39927545199999998</v>
      </c>
      <c r="Y19">
        <v>45.830460000000002</v>
      </c>
    </row>
    <row r="20" spans="1:25" x14ac:dyDescent="0.2">
      <c r="A20">
        <v>4837</v>
      </c>
      <c r="B20" t="s">
        <v>11</v>
      </c>
      <c r="G20">
        <v>12.22</v>
      </c>
      <c r="H20">
        <v>16.2</v>
      </c>
      <c r="I20" s="3">
        <v>45734</v>
      </c>
      <c r="K20">
        <v>13.98</v>
      </c>
      <c r="L20">
        <v>190.5</v>
      </c>
      <c r="M20">
        <v>0.30000000000000004</v>
      </c>
      <c r="N20">
        <v>58</v>
      </c>
      <c r="P20">
        <v>0.72975178900000004</v>
      </c>
      <c r="S20" s="3"/>
    </row>
    <row r="21" spans="1:25" x14ac:dyDescent="0.2">
      <c r="A21">
        <v>4838</v>
      </c>
      <c r="B21" t="s">
        <v>11</v>
      </c>
      <c r="C21" t="s">
        <v>2</v>
      </c>
      <c r="D21" t="s">
        <v>21</v>
      </c>
      <c r="E21" t="s">
        <v>13</v>
      </c>
      <c r="F21" t="s">
        <v>18</v>
      </c>
      <c r="G21">
        <v>13.54</v>
      </c>
      <c r="H21">
        <v>15.5</v>
      </c>
      <c r="I21" s="3">
        <v>45733</v>
      </c>
      <c r="J21" t="s">
        <v>115</v>
      </c>
      <c r="K21">
        <v>14.05</v>
      </c>
      <c r="L21">
        <v>230</v>
      </c>
      <c r="M21">
        <v>0.3</v>
      </c>
      <c r="N21">
        <v>52.5</v>
      </c>
      <c r="O21" s="4">
        <v>4.0103625000000003</v>
      </c>
      <c r="P21">
        <v>0.55781918399999997</v>
      </c>
      <c r="Q21" s="3">
        <v>45744</v>
      </c>
      <c r="R21">
        <v>13.68</v>
      </c>
      <c r="S21" s="3">
        <v>45747</v>
      </c>
      <c r="T21">
        <v>174.5</v>
      </c>
      <c r="U21">
        <v>0.5</v>
      </c>
      <c r="V21">
        <v>60</v>
      </c>
      <c r="W21">
        <v>3.0700374999999998</v>
      </c>
      <c r="X21">
        <v>0.50506417199999998</v>
      </c>
      <c r="Y21">
        <v>42.606140000000003</v>
      </c>
    </row>
    <row r="22" spans="1:25" x14ac:dyDescent="0.2">
      <c r="A22">
        <v>4839</v>
      </c>
      <c r="B22" t="s">
        <v>11</v>
      </c>
      <c r="G22">
        <v>12.97</v>
      </c>
      <c r="H22">
        <v>16.100000000000001</v>
      </c>
      <c r="I22" s="3">
        <v>45736</v>
      </c>
      <c r="K22">
        <v>14.33</v>
      </c>
      <c r="S22" s="3"/>
    </row>
    <row r="23" spans="1:25" x14ac:dyDescent="0.2">
      <c r="A23">
        <v>4840</v>
      </c>
      <c r="B23" t="s">
        <v>11</v>
      </c>
      <c r="C23" t="s">
        <v>3</v>
      </c>
      <c r="D23" t="s">
        <v>21</v>
      </c>
      <c r="E23" t="s">
        <v>16</v>
      </c>
      <c r="F23" t="s">
        <v>18</v>
      </c>
      <c r="G23">
        <v>16.260000000000002</v>
      </c>
      <c r="H23">
        <v>17.2</v>
      </c>
      <c r="I23" s="3">
        <v>45735</v>
      </c>
      <c r="J23" t="s">
        <v>123</v>
      </c>
      <c r="K23">
        <v>17.07</v>
      </c>
      <c r="L23">
        <v>220</v>
      </c>
      <c r="M23">
        <v>0.30000000000000004</v>
      </c>
      <c r="N23">
        <v>52</v>
      </c>
      <c r="O23" s="4">
        <v>0.39516250000000003</v>
      </c>
      <c r="P23">
        <v>0.71566864200000002</v>
      </c>
      <c r="Q23" s="3">
        <v>45747</v>
      </c>
      <c r="R23">
        <v>17.45</v>
      </c>
      <c r="S23" s="8">
        <v>45750</v>
      </c>
      <c r="T23">
        <v>372.5</v>
      </c>
      <c r="U23">
        <v>0.55000000000000004</v>
      </c>
      <c r="V23">
        <v>52</v>
      </c>
      <c r="W23">
        <v>12.7176875</v>
      </c>
      <c r="X23">
        <v>0.26068774700000003</v>
      </c>
      <c r="Y23">
        <v>45.531089999999999</v>
      </c>
    </row>
    <row r="24" spans="1:25" x14ac:dyDescent="0.2">
      <c r="A24">
        <v>4841</v>
      </c>
      <c r="B24" t="s">
        <v>11</v>
      </c>
      <c r="C24" t="s">
        <v>3</v>
      </c>
      <c r="D24" t="s">
        <v>22</v>
      </c>
      <c r="E24" t="s">
        <v>16</v>
      </c>
      <c r="F24" t="s">
        <v>14</v>
      </c>
      <c r="G24">
        <v>13.43</v>
      </c>
      <c r="H24">
        <v>15.2</v>
      </c>
      <c r="I24" s="3">
        <v>44642</v>
      </c>
      <c r="J24" t="s">
        <v>125</v>
      </c>
      <c r="K24">
        <v>13.64</v>
      </c>
      <c r="L24">
        <v>275</v>
      </c>
      <c r="M24">
        <v>0.4</v>
      </c>
      <c r="N24">
        <v>55</v>
      </c>
      <c r="O24" s="4">
        <v>0.70537499999999997</v>
      </c>
      <c r="P24">
        <v>0.58876391500000003</v>
      </c>
      <c r="Q24" s="3">
        <v>45748</v>
      </c>
      <c r="R24">
        <v>14.45</v>
      </c>
      <c r="S24" s="3">
        <v>45751</v>
      </c>
      <c r="T24">
        <v>264</v>
      </c>
      <c r="U24">
        <v>0.35</v>
      </c>
      <c r="W24">
        <v>5.6959125000000004</v>
      </c>
      <c r="Y24">
        <v>44.146749999999997</v>
      </c>
    </row>
    <row r="25" spans="1:25" x14ac:dyDescent="0.2">
      <c r="A25">
        <v>4842</v>
      </c>
      <c r="B25" t="s">
        <v>11</v>
      </c>
      <c r="C25" t="s">
        <v>3</v>
      </c>
      <c r="D25" t="s">
        <v>12</v>
      </c>
      <c r="E25" t="s">
        <v>13</v>
      </c>
      <c r="F25" t="s">
        <v>18</v>
      </c>
      <c r="G25">
        <v>12.51</v>
      </c>
      <c r="H25">
        <v>17</v>
      </c>
      <c r="I25" s="3">
        <v>45737</v>
      </c>
      <c r="J25" t="s">
        <v>80</v>
      </c>
      <c r="K25">
        <v>13.43</v>
      </c>
      <c r="L25">
        <v>185</v>
      </c>
      <c r="M25">
        <v>0.35</v>
      </c>
      <c r="N25">
        <v>59</v>
      </c>
      <c r="O25" s="4">
        <v>2.6025624999999999</v>
      </c>
      <c r="P25">
        <v>0.34773668299999999</v>
      </c>
      <c r="Q25" s="3">
        <v>45746</v>
      </c>
      <c r="R25">
        <v>13.2</v>
      </c>
      <c r="S25" s="8">
        <v>45749</v>
      </c>
      <c r="T25" t="s">
        <v>140</v>
      </c>
      <c r="U25" t="s">
        <v>140</v>
      </c>
      <c r="V25" t="s">
        <v>140</v>
      </c>
      <c r="Y25">
        <v>47.167740000000002</v>
      </c>
    </row>
    <row r="26" spans="1:25" x14ac:dyDescent="0.2">
      <c r="A26">
        <v>4843</v>
      </c>
      <c r="B26" t="s">
        <v>15</v>
      </c>
      <c r="C26" t="s">
        <v>2</v>
      </c>
      <c r="D26" t="s">
        <v>12</v>
      </c>
      <c r="E26" t="s">
        <v>16</v>
      </c>
      <c r="F26" t="s">
        <v>14</v>
      </c>
      <c r="G26">
        <v>13.93</v>
      </c>
      <c r="H26">
        <v>15.2</v>
      </c>
      <c r="I26" s="3">
        <v>45719</v>
      </c>
      <c r="J26" t="s">
        <v>72</v>
      </c>
      <c r="K26">
        <v>15.35</v>
      </c>
      <c r="L26">
        <v>272</v>
      </c>
      <c r="M26">
        <v>0.5</v>
      </c>
      <c r="N26">
        <v>55</v>
      </c>
      <c r="O26" s="4">
        <v>2.7188750000000002</v>
      </c>
      <c r="P26">
        <v>0.48193290500000002</v>
      </c>
      <c r="Q26" s="3">
        <v>45730</v>
      </c>
      <c r="R26">
        <v>14.38</v>
      </c>
      <c r="S26" s="3">
        <v>45733</v>
      </c>
      <c r="T26">
        <v>173.5</v>
      </c>
      <c r="U26">
        <v>0.3</v>
      </c>
      <c r="V26">
        <v>56.5</v>
      </c>
      <c r="W26">
        <v>0.55113750000000006</v>
      </c>
      <c r="X26">
        <v>0.83328892700000001</v>
      </c>
    </row>
    <row r="27" spans="1:25" x14ac:dyDescent="0.2">
      <c r="A27">
        <v>4844</v>
      </c>
      <c r="B27" t="s">
        <v>15</v>
      </c>
      <c r="C27" t="s">
        <v>2</v>
      </c>
      <c r="D27" t="s">
        <v>22</v>
      </c>
      <c r="E27" t="s">
        <v>16</v>
      </c>
      <c r="F27" t="s">
        <v>14</v>
      </c>
      <c r="G27">
        <v>14.15</v>
      </c>
      <c r="H27">
        <v>17.100000000000001</v>
      </c>
      <c r="I27" s="8">
        <v>45721</v>
      </c>
      <c r="J27" t="s">
        <v>80</v>
      </c>
      <c r="K27">
        <v>16.260000000000002</v>
      </c>
      <c r="L27">
        <v>278</v>
      </c>
      <c r="M27">
        <v>0.4</v>
      </c>
      <c r="O27" s="4">
        <v>1.0388124999999999</v>
      </c>
      <c r="P27">
        <v>0.51684789399999997</v>
      </c>
      <c r="Q27" s="3">
        <v>45732</v>
      </c>
      <c r="R27">
        <v>15.07</v>
      </c>
      <c r="S27" s="8">
        <v>45735</v>
      </c>
      <c r="T27">
        <v>294</v>
      </c>
      <c r="U27">
        <v>0.4</v>
      </c>
      <c r="V27">
        <v>48</v>
      </c>
      <c r="W27">
        <v>1.338125</v>
      </c>
      <c r="X27">
        <v>0.35808140300000002</v>
      </c>
    </row>
    <row r="28" spans="1:25" x14ac:dyDescent="0.2">
      <c r="A28">
        <v>4845</v>
      </c>
      <c r="B28" t="s">
        <v>15</v>
      </c>
      <c r="C28" t="s">
        <v>2</v>
      </c>
      <c r="D28" t="s">
        <v>20</v>
      </c>
      <c r="E28" t="s">
        <v>13</v>
      </c>
      <c r="F28" t="s">
        <v>14</v>
      </c>
      <c r="G28">
        <v>14.53</v>
      </c>
      <c r="H28">
        <v>16</v>
      </c>
      <c r="I28" s="3">
        <v>45740</v>
      </c>
      <c r="J28" t="s">
        <v>97</v>
      </c>
      <c r="K28">
        <v>15.44</v>
      </c>
      <c r="L28">
        <v>212.5</v>
      </c>
      <c r="M28">
        <v>0.5</v>
      </c>
      <c r="N28">
        <v>57.5</v>
      </c>
      <c r="O28" s="4">
        <v>0.43057499999999999</v>
      </c>
      <c r="P28">
        <v>0.67532781900000005</v>
      </c>
      <c r="Q28" s="8">
        <v>45750</v>
      </c>
      <c r="R28">
        <v>16.04</v>
      </c>
      <c r="S28" s="3">
        <v>45753</v>
      </c>
      <c r="T28">
        <v>193</v>
      </c>
      <c r="U28">
        <v>0.4</v>
      </c>
      <c r="V28">
        <v>58</v>
      </c>
      <c r="W28">
        <v>1.9072375000000001</v>
      </c>
      <c r="Y28">
        <v>42.768900000000002</v>
      </c>
    </row>
    <row r="29" spans="1:25" x14ac:dyDescent="0.2">
      <c r="A29">
        <v>4846</v>
      </c>
      <c r="B29" t="s">
        <v>15</v>
      </c>
      <c r="C29" t="s">
        <v>3</v>
      </c>
      <c r="D29" t="s">
        <v>20</v>
      </c>
      <c r="E29" t="s">
        <v>16</v>
      </c>
      <c r="F29" t="s">
        <v>14</v>
      </c>
      <c r="G29">
        <v>12.92</v>
      </c>
      <c r="H29">
        <v>14.9</v>
      </c>
      <c r="I29" s="3">
        <v>45720</v>
      </c>
      <c r="J29" t="s">
        <v>76</v>
      </c>
      <c r="K29">
        <v>14.68</v>
      </c>
      <c r="L29">
        <v>221.5</v>
      </c>
      <c r="M29">
        <v>0.6</v>
      </c>
      <c r="N29">
        <v>61</v>
      </c>
      <c r="O29" s="4">
        <v>1.2694875000000001</v>
      </c>
      <c r="Q29" s="3">
        <v>45731</v>
      </c>
      <c r="R29">
        <v>14.6</v>
      </c>
      <c r="S29" s="3">
        <v>45734</v>
      </c>
      <c r="T29">
        <v>199</v>
      </c>
      <c r="W29">
        <v>3.4136749999999996</v>
      </c>
      <c r="X29">
        <v>1.653675521</v>
      </c>
      <c r="Y29">
        <v>44.184160499999997</v>
      </c>
    </row>
    <row r="30" spans="1:25" x14ac:dyDescent="0.2">
      <c r="A30">
        <v>4847</v>
      </c>
      <c r="B30" t="s">
        <v>15</v>
      </c>
      <c r="C30" t="s">
        <v>2</v>
      </c>
      <c r="D30" t="s">
        <v>20</v>
      </c>
      <c r="E30" t="s">
        <v>16</v>
      </c>
      <c r="F30" t="s">
        <v>14</v>
      </c>
      <c r="G30">
        <v>13.21</v>
      </c>
      <c r="H30">
        <v>16.600000000000001</v>
      </c>
      <c r="I30" s="3">
        <v>45723</v>
      </c>
      <c r="J30" t="s">
        <v>85</v>
      </c>
      <c r="K30">
        <v>15.25</v>
      </c>
      <c r="L30">
        <v>240</v>
      </c>
      <c r="M30">
        <v>0.4</v>
      </c>
      <c r="O30" s="4">
        <v>4.5778875000000001</v>
      </c>
      <c r="P30">
        <v>0.59745031199999998</v>
      </c>
      <c r="Q30" s="3">
        <v>45734</v>
      </c>
      <c r="R30">
        <v>15.89</v>
      </c>
      <c r="S30" s="3">
        <v>45738</v>
      </c>
      <c r="T30">
        <v>189</v>
      </c>
      <c r="U30">
        <v>0.35</v>
      </c>
      <c r="V30">
        <v>54</v>
      </c>
      <c r="W30">
        <v>0.32893749999999999</v>
      </c>
      <c r="X30">
        <v>1.010978814</v>
      </c>
      <c r="Y30">
        <v>41.678100000000001</v>
      </c>
    </row>
    <row r="31" spans="1:25" x14ac:dyDescent="0.2">
      <c r="A31">
        <v>4848</v>
      </c>
      <c r="B31" t="s">
        <v>15</v>
      </c>
      <c r="C31" t="s">
        <v>3</v>
      </c>
      <c r="D31" t="s">
        <v>23</v>
      </c>
      <c r="E31" t="s">
        <v>13</v>
      </c>
      <c r="F31" t="s">
        <v>14</v>
      </c>
      <c r="G31">
        <v>12.31</v>
      </c>
      <c r="H31">
        <v>15</v>
      </c>
      <c r="I31" s="3">
        <v>45725</v>
      </c>
      <c r="J31" t="s">
        <v>127</v>
      </c>
      <c r="K31">
        <v>12.66</v>
      </c>
      <c r="L31">
        <v>185</v>
      </c>
      <c r="M31">
        <v>0.6</v>
      </c>
      <c r="N31">
        <v>63</v>
      </c>
      <c r="O31" s="4">
        <v>1.6933625000000001</v>
      </c>
      <c r="P31">
        <v>0.54961019099999997</v>
      </c>
      <c r="Q31" s="8">
        <v>45749</v>
      </c>
      <c r="R31">
        <v>12.79</v>
      </c>
      <c r="S31" s="8">
        <v>45752</v>
      </c>
      <c r="T31" t="s">
        <v>140</v>
      </c>
      <c r="U31" t="s">
        <v>140</v>
      </c>
      <c r="V31" t="s">
        <v>140</v>
      </c>
      <c r="Y31">
        <v>47.110889999999998</v>
      </c>
    </row>
    <row r="32" spans="1:25" x14ac:dyDescent="0.2">
      <c r="A32">
        <v>4849</v>
      </c>
      <c r="B32" t="s">
        <v>15</v>
      </c>
      <c r="C32" t="s">
        <v>3</v>
      </c>
      <c r="D32" t="s">
        <v>12</v>
      </c>
      <c r="E32" t="s">
        <v>16</v>
      </c>
      <c r="F32" t="s">
        <v>14</v>
      </c>
      <c r="G32">
        <v>13.99</v>
      </c>
      <c r="H32">
        <v>16.2</v>
      </c>
      <c r="I32" s="3">
        <v>45722</v>
      </c>
      <c r="J32">
        <v>77250</v>
      </c>
      <c r="K32">
        <v>18.559999999999999</v>
      </c>
      <c r="L32">
        <v>314.5</v>
      </c>
      <c r="M32">
        <v>0.45</v>
      </c>
      <c r="N32">
        <v>54.5</v>
      </c>
      <c r="O32" s="4">
        <v>1.2457</v>
      </c>
      <c r="P32">
        <v>0.53232049999999997</v>
      </c>
      <c r="Q32" s="3">
        <v>45733</v>
      </c>
      <c r="R32">
        <v>17.63</v>
      </c>
      <c r="S32" s="3">
        <v>45736</v>
      </c>
      <c r="T32">
        <v>257</v>
      </c>
      <c r="U32">
        <v>0.6</v>
      </c>
      <c r="V32">
        <v>64</v>
      </c>
      <c r="W32">
        <v>1.1632875</v>
      </c>
      <c r="X32">
        <v>0.61449338099999995</v>
      </c>
    </row>
    <row r="33" spans="1:25" x14ac:dyDescent="0.2">
      <c r="A33">
        <v>4850</v>
      </c>
      <c r="B33" t="s">
        <v>15</v>
      </c>
      <c r="G33">
        <v>13.67</v>
      </c>
      <c r="H33">
        <v>15.4</v>
      </c>
      <c r="I33" s="3">
        <v>45727</v>
      </c>
      <c r="J33" t="s">
        <v>92</v>
      </c>
      <c r="K33">
        <v>13.51</v>
      </c>
      <c r="L33">
        <v>204</v>
      </c>
      <c r="M33">
        <v>0.4</v>
      </c>
      <c r="N33">
        <v>56</v>
      </c>
      <c r="Q33" s="8">
        <v>45736</v>
      </c>
      <c r="R33">
        <v>13.48</v>
      </c>
      <c r="S33" s="3"/>
    </row>
    <row r="34" spans="1:25" x14ac:dyDescent="0.2">
      <c r="A34">
        <v>4851</v>
      </c>
      <c r="B34" t="s">
        <v>15</v>
      </c>
      <c r="C34" t="s">
        <v>3</v>
      </c>
      <c r="D34" t="s">
        <v>22</v>
      </c>
      <c r="E34" t="s">
        <v>16</v>
      </c>
      <c r="F34" t="s">
        <v>14</v>
      </c>
      <c r="G34">
        <v>13.18</v>
      </c>
      <c r="H34">
        <v>16.600000000000001</v>
      </c>
      <c r="I34" s="3">
        <v>45724</v>
      </c>
      <c r="J34" t="s">
        <v>88</v>
      </c>
      <c r="K34">
        <v>17.12</v>
      </c>
      <c r="L34">
        <v>241</v>
      </c>
      <c r="M34">
        <v>0.4</v>
      </c>
      <c r="N34">
        <v>58</v>
      </c>
      <c r="O34" s="4">
        <v>2.9806625000000002</v>
      </c>
      <c r="P34">
        <v>0.67399598699999996</v>
      </c>
      <c r="Q34" s="3">
        <v>45735</v>
      </c>
      <c r="R34">
        <v>15.7</v>
      </c>
      <c r="S34" s="8">
        <v>45739</v>
      </c>
      <c r="T34">
        <v>191.5</v>
      </c>
      <c r="U34">
        <v>0.7</v>
      </c>
      <c r="V34">
        <v>62</v>
      </c>
      <c r="W34">
        <v>0.1305625</v>
      </c>
      <c r="X34">
        <v>0.62562345799999997</v>
      </c>
    </row>
    <row r="35" spans="1:25" x14ac:dyDescent="0.2">
      <c r="A35">
        <v>4852</v>
      </c>
      <c r="B35" t="s">
        <v>15</v>
      </c>
      <c r="C35" t="s">
        <v>3</v>
      </c>
      <c r="D35" t="s">
        <v>21</v>
      </c>
      <c r="E35" t="s">
        <v>13</v>
      </c>
      <c r="F35" t="s">
        <v>18</v>
      </c>
      <c r="G35">
        <v>14.53</v>
      </c>
      <c r="H35">
        <v>15.6</v>
      </c>
      <c r="I35" s="3">
        <v>45737</v>
      </c>
      <c r="J35">
        <v>77238</v>
      </c>
      <c r="K35">
        <v>16.63</v>
      </c>
      <c r="L35">
        <v>206.5</v>
      </c>
      <c r="M35">
        <v>0.35</v>
      </c>
      <c r="N35">
        <v>58.5</v>
      </c>
      <c r="O35" s="4">
        <v>3.1824374999999998</v>
      </c>
      <c r="P35">
        <v>0.58589926800000003</v>
      </c>
      <c r="Q35" s="8">
        <v>45747</v>
      </c>
      <c r="R35">
        <v>15.06</v>
      </c>
      <c r="S35" s="8">
        <v>45750</v>
      </c>
      <c r="T35">
        <v>179</v>
      </c>
      <c r="U35">
        <v>0.6</v>
      </c>
      <c r="V35">
        <v>67.5</v>
      </c>
      <c r="W35">
        <v>6.2435375000000004</v>
      </c>
      <c r="X35">
        <v>0.375520242</v>
      </c>
      <c r="Y35">
        <v>44.835729999999998</v>
      </c>
    </row>
    <row r="36" spans="1:25" x14ac:dyDescent="0.2">
      <c r="A36">
        <v>4853</v>
      </c>
      <c r="B36" t="s">
        <v>15</v>
      </c>
      <c r="C36" t="s">
        <v>2</v>
      </c>
      <c r="D36" t="s">
        <v>23</v>
      </c>
      <c r="E36" t="s">
        <v>16</v>
      </c>
      <c r="F36" t="s">
        <v>14</v>
      </c>
      <c r="G36">
        <v>15.79</v>
      </c>
      <c r="H36">
        <v>17.5</v>
      </c>
      <c r="I36" s="3">
        <v>45726</v>
      </c>
      <c r="J36">
        <v>77237</v>
      </c>
      <c r="K36">
        <v>19.170000000000002</v>
      </c>
      <c r="L36">
        <v>192.5</v>
      </c>
      <c r="M36">
        <v>0.6</v>
      </c>
      <c r="N36">
        <v>60</v>
      </c>
      <c r="O36" s="4">
        <v>1.6674125</v>
      </c>
      <c r="P36">
        <v>0.463035949</v>
      </c>
      <c r="Q36" s="8">
        <v>45738</v>
      </c>
      <c r="R36">
        <v>18.39</v>
      </c>
      <c r="S36" s="3">
        <v>45742</v>
      </c>
      <c r="T36">
        <v>161.5</v>
      </c>
      <c r="U36">
        <v>0.45</v>
      </c>
      <c r="V36">
        <v>66.5</v>
      </c>
      <c r="W36">
        <v>9.335325000000001</v>
      </c>
      <c r="X36">
        <v>0.75130000600000002</v>
      </c>
      <c r="Y36">
        <v>44.489820000000002</v>
      </c>
    </row>
    <row r="37" spans="1:25" x14ac:dyDescent="0.2">
      <c r="A37">
        <v>4854</v>
      </c>
      <c r="B37" t="s">
        <v>15</v>
      </c>
      <c r="C37" t="s">
        <v>3</v>
      </c>
      <c r="D37" t="s">
        <v>22</v>
      </c>
      <c r="E37" t="s">
        <v>13</v>
      </c>
      <c r="F37" t="s">
        <v>18</v>
      </c>
      <c r="G37">
        <v>12.46</v>
      </c>
      <c r="H37">
        <v>17.2</v>
      </c>
      <c r="I37" s="3">
        <v>45741</v>
      </c>
      <c r="J37" t="s">
        <v>129</v>
      </c>
      <c r="K37">
        <v>14.54</v>
      </c>
      <c r="L37">
        <v>180</v>
      </c>
      <c r="M37">
        <v>0.45</v>
      </c>
      <c r="N37">
        <v>56</v>
      </c>
      <c r="O37" s="4">
        <v>1.560331E-2</v>
      </c>
      <c r="P37">
        <v>0.59986404500000001</v>
      </c>
      <c r="Q37" s="8">
        <v>45751</v>
      </c>
      <c r="R37">
        <v>14.7</v>
      </c>
      <c r="S37" s="3">
        <v>45754</v>
      </c>
      <c r="T37">
        <v>304</v>
      </c>
      <c r="U37">
        <v>0.45</v>
      </c>
      <c r="V37">
        <v>56</v>
      </c>
      <c r="W37">
        <v>0.79720000000000002</v>
      </c>
      <c r="X37">
        <v>0.80474029499999999</v>
      </c>
      <c r="Y37">
        <v>43.60519</v>
      </c>
    </row>
    <row r="38" spans="1:25" x14ac:dyDescent="0.2">
      <c r="A38">
        <v>4855</v>
      </c>
      <c r="B38" t="s">
        <v>15</v>
      </c>
      <c r="C38" t="s">
        <v>3</v>
      </c>
      <c r="D38" t="s">
        <v>12</v>
      </c>
      <c r="E38" t="s">
        <v>13</v>
      </c>
      <c r="G38">
        <v>11.18</v>
      </c>
      <c r="H38">
        <v>13</v>
      </c>
      <c r="I38" s="3">
        <v>45729</v>
      </c>
      <c r="J38" t="s">
        <v>101</v>
      </c>
      <c r="K38">
        <v>11.98</v>
      </c>
      <c r="L38">
        <v>150.5</v>
      </c>
      <c r="M38">
        <v>0.35</v>
      </c>
      <c r="N38">
        <v>66</v>
      </c>
      <c r="O38" s="4">
        <v>1.6891</v>
      </c>
      <c r="P38">
        <v>0.46802688799999997</v>
      </c>
      <c r="Q38" s="8">
        <v>45740</v>
      </c>
      <c r="R38">
        <v>12.02</v>
      </c>
      <c r="S38" s="3">
        <v>45743</v>
      </c>
      <c r="T38">
        <v>371.5</v>
      </c>
      <c r="U38">
        <v>0.55000000000000004</v>
      </c>
      <c r="V38">
        <v>55</v>
      </c>
      <c r="W38">
        <v>6.8757625000000004</v>
      </c>
      <c r="X38">
        <v>0.81044112099999999</v>
      </c>
      <c r="Y38">
        <v>45.180210000000002</v>
      </c>
    </row>
    <row r="39" spans="1:25" x14ac:dyDescent="0.2">
      <c r="A39">
        <v>4856</v>
      </c>
      <c r="B39" t="s">
        <v>15</v>
      </c>
      <c r="C39" t="s">
        <v>2</v>
      </c>
      <c r="D39" t="s">
        <v>22</v>
      </c>
      <c r="E39" t="s">
        <v>13</v>
      </c>
      <c r="F39" t="s">
        <v>14</v>
      </c>
      <c r="G39">
        <v>16.48</v>
      </c>
      <c r="H39">
        <v>18.100000000000001</v>
      </c>
      <c r="I39" s="3">
        <v>45731</v>
      </c>
      <c r="J39" t="s">
        <v>108</v>
      </c>
      <c r="K39">
        <v>19.05</v>
      </c>
      <c r="L39">
        <v>198</v>
      </c>
      <c r="M39">
        <v>0.64999999999999991</v>
      </c>
      <c r="N39">
        <v>62</v>
      </c>
      <c r="O39" s="4">
        <v>2.0259999999999998</v>
      </c>
      <c r="P39">
        <v>0.34049002499999997</v>
      </c>
      <c r="Q39" s="8">
        <v>45742</v>
      </c>
      <c r="R39">
        <v>17.079999999999998</v>
      </c>
      <c r="S39" s="3">
        <v>45745</v>
      </c>
      <c r="T39">
        <v>198</v>
      </c>
      <c r="U39">
        <v>0.4</v>
      </c>
      <c r="V39">
        <v>60</v>
      </c>
      <c r="W39">
        <v>0.74656250000000002</v>
      </c>
      <c r="X39">
        <v>0.35210540699999998</v>
      </c>
      <c r="Y39">
        <v>42.146070000000002</v>
      </c>
    </row>
    <row r="40" spans="1:25" x14ac:dyDescent="0.2">
      <c r="A40">
        <v>4857</v>
      </c>
      <c r="B40" t="s">
        <v>15</v>
      </c>
      <c r="C40" t="s">
        <v>2</v>
      </c>
      <c r="D40" t="s">
        <v>17</v>
      </c>
      <c r="E40" t="s">
        <v>16</v>
      </c>
      <c r="F40" t="s">
        <v>18</v>
      </c>
      <c r="G40">
        <v>15.35</v>
      </c>
      <c r="H40">
        <v>16.899999999999999</v>
      </c>
      <c r="I40" s="3">
        <v>45733</v>
      </c>
      <c r="J40" t="s">
        <v>114</v>
      </c>
      <c r="K40">
        <v>16.510000000000002</v>
      </c>
      <c r="L40">
        <v>197.5</v>
      </c>
      <c r="M40">
        <v>0.55000000000000004</v>
      </c>
      <c r="N40">
        <v>59.5</v>
      </c>
      <c r="O40" s="4">
        <v>1.3810625000000001</v>
      </c>
      <c r="P40">
        <v>0.68945326200000001</v>
      </c>
      <c r="Q40" s="8">
        <v>45743</v>
      </c>
      <c r="R40">
        <v>18.68</v>
      </c>
      <c r="S40" s="3">
        <v>45746</v>
      </c>
      <c r="T40">
        <v>167.5</v>
      </c>
      <c r="U40">
        <v>0.4</v>
      </c>
      <c r="V40">
        <v>57</v>
      </c>
      <c r="W40">
        <v>2.1170374999999999</v>
      </c>
      <c r="X40">
        <v>0.73091140899999996</v>
      </c>
      <c r="Y40">
        <v>42.125190000000003</v>
      </c>
    </row>
    <row r="41" spans="1:25" x14ac:dyDescent="0.2">
      <c r="A41">
        <v>4858</v>
      </c>
      <c r="B41" t="s">
        <v>15</v>
      </c>
      <c r="C41" t="s">
        <v>3</v>
      </c>
      <c r="D41" t="s">
        <v>17</v>
      </c>
      <c r="E41" t="s">
        <v>13</v>
      </c>
      <c r="F41" t="s">
        <v>14</v>
      </c>
      <c r="G41">
        <v>12.9</v>
      </c>
      <c r="H41">
        <v>16.399999999999999</v>
      </c>
      <c r="I41" s="3">
        <v>45741</v>
      </c>
      <c r="J41" t="s">
        <v>86</v>
      </c>
      <c r="K41">
        <v>15.03</v>
      </c>
      <c r="L41">
        <v>237</v>
      </c>
      <c r="M41">
        <v>0.35</v>
      </c>
      <c r="N41">
        <v>55</v>
      </c>
      <c r="O41" s="4">
        <v>0.17155987</v>
      </c>
      <c r="P41">
        <v>0.23047251099999999</v>
      </c>
      <c r="Q41" s="3">
        <v>45751</v>
      </c>
      <c r="R41">
        <v>15.1</v>
      </c>
      <c r="S41" s="3">
        <v>45754</v>
      </c>
      <c r="T41">
        <v>270</v>
      </c>
      <c r="U41">
        <v>0.55000000000000004</v>
      </c>
      <c r="V41">
        <v>53.5</v>
      </c>
      <c r="W41">
        <v>11.126987499999998</v>
      </c>
      <c r="X41">
        <v>0.39900301599999999</v>
      </c>
      <c r="Y41">
        <v>44.771299999999997</v>
      </c>
    </row>
    <row r="42" spans="1:25" x14ac:dyDescent="0.2">
      <c r="A42">
        <v>4859</v>
      </c>
      <c r="B42" t="s">
        <v>15</v>
      </c>
      <c r="C42" t="s">
        <v>3</v>
      </c>
      <c r="D42" t="s">
        <v>21</v>
      </c>
      <c r="E42" t="s">
        <v>13</v>
      </c>
      <c r="F42" t="s">
        <v>18</v>
      </c>
      <c r="G42">
        <v>13.84</v>
      </c>
      <c r="H42">
        <v>17.100000000000001</v>
      </c>
      <c r="I42" s="8">
        <v>45728</v>
      </c>
      <c r="J42" t="s">
        <v>96</v>
      </c>
      <c r="K42">
        <v>16.600000000000001</v>
      </c>
      <c r="L42">
        <v>235.5</v>
      </c>
      <c r="M42">
        <v>0.35</v>
      </c>
      <c r="O42" s="4">
        <v>0.50844999999999996</v>
      </c>
      <c r="P42">
        <v>0.77302178600000004</v>
      </c>
      <c r="Q42" s="8">
        <v>45738</v>
      </c>
      <c r="R42">
        <v>17.34</v>
      </c>
      <c r="S42" s="8">
        <v>45741</v>
      </c>
      <c r="T42">
        <v>251.5</v>
      </c>
      <c r="U42">
        <v>0.35</v>
      </c>
      <c r="V42">
        <v>59</v>
      </c>
      <c r="W42">
        <v>1.3396499999999998</v>
      </c>
      <c r="X42">
        <v>0.425290795</v>
      </c>
      <c r="Y42">
        <v>44.81279</v>
      </c>
    </row>
    <row r="43" spans="1:25" x14ac:dyDescent="0.2">
      <c r="A43">
        <v>4860</v>
      </c>
      <c r="B43" t="s">
        <v>15</v>
      </c>
      <c r="C43" t="s">
        <v>2</v>
      </c>
      <c r="D43" t="s">
        <v>21</v>
      </c>
      <c r="E43" t="s">
        <v>13</v>
      </c>
      <c r="F43" t="s">
        <v>18</v>
      </c>
      <c r="G43">
        <v>11.99</v>
      </c>
      <c r="H43">
        <v>15.9</v>
      </c>
      <c r="I43" s="3">
        <v>45730</v>
      </c>
      <c r="J43" t="s">
        <v>104</v>
      </c>
      <c r="K43">
        <v>13.02</v>
      </c>
      <c r="L43">
        <v>219.5</v>
      </c>
      <c r="M43">
        <v>0.35</v>
      </c>
      <c r="N43">
        <v>50.5</v>
      </c>
      <c r="O43" s="4">
        <v>1.4538125</v>
      </c>
      <c r="P43">
        <v>0.29123625199999997</v>
      </c>
      <c r="Q43" s="8">
        <v>45741</v>
      </c>
      <c r="R43">
        <v>13.89</v>
      </c>
      <c r="S43" s="3">
        <v>45744</v>
      </c>
      <c r="T43">
        <v>184.5</v>
      </c>
      <c r="U43">
        <v>0.3</v>
      </c>
      <c r="V43">
        <v>56</v>
      </c>
      <c r="W43">
        <v>0.17658750000000001</v>
      </c>
      <c r="X43">
        <v>0.75903632799999998</v>
      </c>
      <c r="Y43">
        <v>42.66216</v>
      </c>
    </row>
    <row r="44" spans="1:25" x14ac:dyDescent="0.2">
      <c r="A44">
        <v>4861</v>
      </c>
      <c r="B44" t="s">
        <v>15</v>
      </c>
      <c r="C44" t="s">
        <v>2</v>
      </c>
      <c r="D44" t="s">
        <v>12</v>
      </c>
      <c r="E44" t="s">
        <v>16</v>
      </c>
      <c r="F44" t="s">
        <v>14</v>
      </c>
      <c r="G44">
        <v>13.6</v>
      </c>
      <c r="H44">
        <v>16</v>
      </c>
      <c r="I44" s="3">
        <v>45732</v>
      </c>
      <c r="J44" t="s">
        <v>87</v>
      </c>
      <c r="K44">
        <v>14.51</v>
      </c>
      <c r="L44">
        <v>188</v>
      </c>
      <c r="M44">
        <v>0.4</v>
      </c>
      <c r="N44">
        <v>56</v>
      </c>
      <c r="O44" s="4">
        <v>0.17155987</v>
      </c>
      <c r="P44">
        <v>0.73084349199999998</v>
      </c>
      <c r="Q44" s="3">
        <v>45752</v>
      </c>
      <c r="R44">
        <v>14.79</v>
      </c>
      <c r="S44" s="3">
        <v>45755</v>
      </c>
      <c r="T44">
        <v>178</v>
      </c>
      <c r="U44">
        <v>0.45</v>
      </c>
      <c r="V44">
        <v>60.5</v>
      </c>
      <c r="W44">
        <v>2.5019125</v>
      </c>
      <c r="X44">
        <v>0.60368046799999997</v>
      </c>
      <c r="Y44">
        <v>42.797130000000003</v>
      </c>
    </row>
    <row r="45" spans="1:25" x14ac:dyDescent="0.2">
      <c r="A45">
        <v>4862</v>
      </c>
      <c r="B45" t="s">
        <v>15</v>
      </c>
      <c r="C45" t="s">
        <v>3</v>
      </c>
      <c r="D45" t="s">
        <v>22</v>
      </c>
      <c r="E45" t="s">
        <v>16</v>
      </c>
      <c r="F45" t="s">
        <v>18</v>
      </c>
      <c r="G45">
        <v>13.16</v>
      </c>
      <c r="H45">
        <v>16.2</v>
      </c>
      <c r="I45" s="3">
        <v>45735</v>
      </c>
      <c r="J45" t="s">
        <v>119</v>
      </c>
      <c r="K45">
        <v>15.13</v>
      </c>
      <c r="L45">
        <v>392.5</v>
      </c>
      <c r="M45">
        <v>0.4</v>
      </c>
      <c r="N45">
        <v>57</v>
      </c>
      <c r="O45" s="4">
        <v>2.2273999999999998</v>
      </c>
      <c r="P45">
        <v>0.28490904500000003</v>
      </c>
      <c r="Q45" s="8">
        <v>45745</v>
      </c>
      <c r="R45">
        <v>15.65</v>
      </c>
      <c r="S45" s="8">
        <v>45748</v>
      </c>
      <c r="T45">
        <v>238</v>
      </c>
      <c r="U45">
        <v>0.3</v>
      </c>
      <c r="V45">
        <v>60</v>
      </c>
      <c r="W45">
        <v>4.6731499999999997</v>
      </c>
      <c r="X45">
        <v>0.37694074100000002</v>
      </c>
      <c r="Y45">
        <v>44.42597</v>
      </c>
    </row>
    <row r="46" spans="1:25" x14ac:dyDescent="0.2">
      <c r="A46">
        <v>4863</v>
      </c>
      <c r="B46" t="s">
        <v>15</v>
      </c>
      <c r="C46" t="s">
        <v>3</v>
      </c>
      <c r="D46" t="s">
        <v>21</v>
      </c>
      <c r="E46" t="s">
        <v>13</v>
      </c>
      <c r="F46" t="s">
        <v>18</v>
      </c>
      <c r="G46">
        <v>12.64</v>
      </c>
      <c r="H46">
        <v>17.2</v>
      </c>
      <c r="I46" s="3">
        <v>45740</v>
      </c>
      <c r="J46" t="s">
        <v>95</v>
      </c>
      <c r="K46">
        <v>17.93</v>
      </c>
      <c r="L46">
        <v>253</v>
      </c>
      <c r="N46">
        <v>50</v>
      </c>
      <c r="O46" s="4">
        <v>0.50738749999999999</v>
      </c>
      <c r="P46">
        <v>0.63183053300000003</v>
      </c>
      <c r="Q46" s="8">
        <v>45750</v>
      </c>
      <c r="R46">
        <v>18.5</v>
      </c>
      <c r="S46" s="3">
        <v>45753</v>
      </c>
      <c r="Y46">
        <v>46.888129999999997</v>
      </c>
    </row>
    <row r="47" spans="1:25" x14ac:dyDescent="0.2">
      <c r="A47">
        <v>4864</v>
      </c>
      <c r="B47" t="s">
        <v>15</v>
      </c>
      <c r="C47" t="s">
        <v>2</v>
      </c>
      <c r="D47" t="s">
        <v>21</v>
      </c>
      <c r="E47" t="s">
        <v>16</v>
      </c>
      <c r="F47" t="s">
        <v>18</v>
      </c>
      <c r="G47">
        <v>14.22</v>
      </c>
      <c r="H47">
        <v>15.9</v>
      </c>
      <c r="I47" s="3">
        <v>45734</v>
      </c>
      <c r="J47" t="s">
        <v>116</v>
      </c>
      <c r="K47">
        <v>16.190000000000001</v>
      </c>
      <c r="L47">
        <v>264.5</v>
      </c>
      <c r="M47">
        <v>0.4</v>
      </c>
      <c r="N47">
        <v>59</v>
      </c>
      <c r="O47" s="4">
        <v>0.42858750000000001</v>
      </c>
      <c r="P47">
        <v>0.88689672500000005</v>
      </c>
      <c r="Q47" s="8">
        <v>45744</v>
      </c>
      <c r="R47">
        <v>15.57</v>
      </c>
      <c r="S47" s="8">
        <v>45747</v>
      </c>
      <c r="T47">
        <v>243.5</v>
      </c>
      <c r="U47">
        <v>0.3</v>
      </c>
      <c r="V47">
        <v>60.5</v>
      </c>
      <c r="W47">
        <v>4.5829250000000004</v>
      </c>
      <c r="X47">
        <v>0.86270027599999999</v>
      </c>
      <c r="Y47">
        <v>42.28604</v>
      </c>
    </row>
    <row r="48" spans="1:25" x14ac:dyDescent="0.2">
      <c r="A48">
        <v>4865</v>
      </c>
      <c r="B48" t="s">
        <v>15</v>
      </c>
      <c r="C48" t="s">
        <v>3</v>
      </c>
      <c r="D48" t="s">
        <v>12</v>
      </c>
      <c r="E48" t="s">
        <v>16</v>
      </c>
      <c r="F48" t="s">
        <v>18</v>
      </c>
      <c r="G48">
        <v>12.4</v>
      </c>
      <c r="H48">
        <v>16.600000000000001</v>
      </c>
      <c r="I48" s="3">
        <v>45736</v>
      </c>
      <c r="J48">
        <v>77250</v>
      </c>
      <c r="K48">
        <v>13.77</v>
      </c>
      <c r="L48">
        <v>263</v>
      </c>
      <c r="M48">
        <v>0.6</v>
      </c>
      <c r="N48">
        <v>58</v>
      </c>
      <c r="O48" s="4">
        <v>3.1642375</v>
      </c>
      <c r="P48">
        <v>0.51172721600000004</v>
      </c>
      <c r="Q48" s="8">
        <v>45746</v>
      </c>
      <c r="R48">
        <v>14.13</v>
      </c>
      <c r="S48" s="8">
        <v>45749</v>
      </c>
      <c r="T48">
        <v>244.5</v>
      </c>
      <c r="U48">
        <v>0.4</v>
      </c>
      <c r="V48">
        <v>52</v>
      </c>
      <c r="W48">
        <v>22.129874999999998</v>
      </c>
      <c r="X48">
        <v>0.67486308699999997</v>
      </c>
      <c r="Y48">
        <v>44.893720000000002</v>
      </c>
    </row>
    <row r="49" spans="1:25" x14ac:dyDescent="0.2">
      <c r="A49">
        <v>4867</v>
      </c>
      <c r="B49" t="s">
        <v>15</v>
      </c>
      <c r="C49" t="s">
        <v>3</v>
      </c>
      <c r="D49" t="s">
        <v>22</v>
      </c>
      <c r="E49" t="s">
        <v>13</v>
      </c>
      <c r="F49" t="s">
        <v>14</v>
      </c>
      <c r="G49">
        <v>11.46</v>
      </c>
      <c r="H49">
        <v>15.9</v>
      </c>
      <c r="I49" s="3">
        <v>45738</v>
      </c>
      <c r="J49" t="s">
        <v>126</v>
      </c>
      <c r="K49">
        <v>13.7</v>
      </c>
      <c r="L49">
        <v>237.5</v>
      </c>
      <c r="M49">
        <v>0.55000000000000004</v>
      </c>
      <c r="N49">
        <v>60</v>
      </c>
      <c r="O49" s="4">
        <v>2.0723124999999998</v>
      </c>
      <c r="P49">
        <v>0.632642021</v>
      </c>
      <c r="Q49" s="8">
        <v>45748</v>
      </c>
      <c r="R49">
        <v>13.86</v>
      </c>
      <c r="S49" s="3">
        <v>45751</v>
      </c>
      <c r="T49">
        <v>248</v>
      </c>
      <c r="U49">
        <v>0.45</v>
      </c>
      <c r="V49">
        <v>58.5</v>
      </c>
      <c r="W49">
        <v>0.89098749999999993</v>
      </c>
      <c r="X49">
        <v>0.498830457</v>
      </c>
      <c r="Y49">
        <v>44.162379999999999</v>
      </c>
    </row>
    <row r="50" spans="1:25" x14ac:dyDescent="0.2">
      <c r="A50">
        <v>4868</v>
      </c>
      <c r="B50" t="s">
        <v>11</v>
      </c>
      <c r="C50" t="s">
        <v>2</v>
      </c>
      <c r="D50" t="s">
        <v>21</v>
      </c>
      <c r="E50" t="s">
        <v>13</v>
      </c>
      <c r="F50" t="s">
        <v>18</v>
      </c>
      <c r="G50">
        <v>15.27</v>
      </c>
      <c r="H50">
        <v>16.399999999999999</v>
      </c>
      <c r="I50" s="3">
        <v>45720</v>
      </c>
      <c r="J50" t="s">
        <v>77</v>
      </c>
      <c r="K50">
        <v>15.5</v>
      </c>
      <c r="L50">
        <v>238</v>
      </c>
      <c r="M50">
        <v>0.35</v>
      </c>
      <c r="N50">
        <v>55</v>
      </c>
      <c r="O50" s="4">
        <v>3.2941375000000002</v>
      </c>
      <c r="P50">
        <v>0.88236813999999997</v>
      </c>
      <c r="Q50" s="3">
        <v>45731</v>
      </c>
      <c r="R50">
        <v>15.11</v>
      </c>
      <c r="S50" s="3">
        <v>45734</v>
      </c>
      <c r="T50">
        <v>187</v>
      </c>
      <c r="U50">
        <v>0.6</v>
      </c>
      <c r="V50">
        <v>61</v>
      </c>
      <c r="W50">
        <v>2.1552500000000001</v>
      </c>
      <c r="X50">
        <v>1.2885479980000001</v>
      </c>
      <c r="Y50">
        <v>43.31</v>
      </c>
    </row>
    <row r="51" spans="1:25" x14ac:dyDescent="0.2">
      <c r="A51">
        <v>4869</v>
      </c>
      <c r="B51" t="s">
        <v>11</v>
      </c>
      <c r="C51" t="s">
        <v>3</v>
      </c>
      <c r="D51" t="s">
        <v>17</v>
      </c>
      <c r="E51" t="s">
        <v>13</v>
      </c>
      <c r="F51" t="s">
        <v>18</v>
      </c>
      <c r="G51">
        <v>17.64</v>
      </c>
      <c r="H51">
        <v>17.8</v>
      </c>
      <c r="I51" s="3">
        <v>45719</v>
      </c>
      <c r="J51" t="s">
        <v>73</v>
      </c>
      <c r="K51">
        <v>18.079999999999998</v>
      </c>
      <c r="L51">
        <v>245.5</v>
      </c>
      <c r="M51">
        <v>0.5</v>
      </c>
      <c r="N51">
        <v>55</v>
      </c>
      <c r="O51" s="4">
        <v>0.41552499999999998</v>
      </c>
      <c r="P51">
        <v>0.76693425599999998</v>
      </c>
      <c r="Q51" s="3">
        <v>45730</v>
      </c>
      <c r="R51">
        <v>17.739999999999998</v>
      </c>
      <c r="S51" s="3">
        <v>45733</v>
      </c>
      <c r="T51">
        <v>208.5</v>
      </c>
      <c r="U51">
        <v>0.75</v>
      </c>
      <c r="V51">
        <v>59</v>
      </c>
      <c r="W51">
        <v>2.6953874999999998</v>
      </c>
      <c r="X51">
        <v>0.64275357300000002</v>
      </c>
    </row>
    <row r="52" spans="1:25" x14ac:dyDescent="0.2">
      <c r="A52">
        <v>4870</v>
      </c>
      <c r="B52" t="s">
        <v>11</v>
      </c>
      <c r="C52" t="s">
        <v>3</v>
      </c>
      <c r="D52" t="s">
        <v>23</v>
      </c>
      <c r="E52" t="s">
        <v>13</v>
      </c>
      <c r="F52" t="s">
        <v>18</v>
      </c>
      <c r="G52">
        <v>16.059999999999999</v>
      </c>
      <c r="H52">
        <v>16.5</v>
      </c>
      <c r="I52" s="8">
        <v>45721</v>
      </c>
      <c r="J52">
        <v>77258</v>
      </c>
      <c r="K52">
        <v>17.23</v>
      </c>
      <c r="L52">
        <v>234.5</v>
      </c>
      <c r="M52">
        <v>0.45</v>
      </c>
      <c r="N52">
        <v>54.5</v>
      </c>
      <c r="O52" s="4">
        <v>0.60229999999999995</v>
      </c>
      <c r="P52">
        <v>0.57272847599999999</v>
      </c>
      <c r="Q52" s="3">
        <v>45732</v>
      </c>
      <c r="R52">
        <v>16.260000000000002</v>
      </c>
      <c r="S52" s="8">
        <v>45735</v>
      </c>
      <c r="T52">
        <v>254.5</v>
      </c>
      <c r="U52">
        <v>0.35</v>
      </c>
      <c r="V52">
        <v>59</v>
      </c>
      <c r="W52">
        <v>3.1105125000000005</v>
      </c>
      <c r="X52">
        <v>0.11127595799999999</v>
      </c>
    </row>
    <row r="53" spans="1:25" x14ac:dyDescent="0.2">
      <c r="A53">
        <v>4871</v>
      </c>
      <c r="B53" t="s">
        <v>11</v>
      </c>
      <c r="C53" t="s">
        <v>3</v>
      </c>
      <c r="D53" t="s">
        <v>21</v>
      </c>
      <c r="E53" t="s">
        <v>13</v>
      </c>
      <c r="F53" t="s">
        <v>18</v>
      </c>
      <c r="G53">
        <v>13.02</v>
      </c>
      <c r="H53">
        <v>16.7</v>
      </c>
      <c r="I53" s="3">
        <v>45723</v>
      </c>
      <c r="J53" t="s">
        <v>86</v>
      </c>
      <c r="K53">
        <v>12.04</v>
      </c>
      <c r="L53">
        <v>261</v>
      </c>
      <c r="M53">
        <v>0.4</v>
      </c>
      <c r="O53" s="4">
        <v>1.6441874999999999</v>
      </c>
      <c r="P53">
        <v>0.63569603399999997</v>
      </c>
      <c r="Q53" s="8">
        <v>45734</v>
      </c>
      <c r="R53">
        <v>11.82</v>
      </c>
      <c r="S53" s="3">
        <v>45738</v>
      </c>
      <c r="T53">
        <v>412.5</v>
      </c>
      <c r="U53">
        <v>0.45</v>
      </c>
      <c r="V53">
        <v>46</v>
      </c>
      <c r="W53">
        <v>4.2279249999999999</v>
      </c>
      <c r="X53">
        <v>0.197663594</v>
      </c>
      <c r="Y53">
        <v>44.231540000000003</v>
      </c>
    </row>
    <row r="54" spans="1:25" x14ac:dyDescent="0.2">
      <c r="A54">
        <v>4873</v>
      </c>
      <c r="B54" t="s">
        <v>11</v>
      </c>
      <c r="C54" t="s">
        <v>2</v>
      </c>
      <c r="D54" t="s">
        <v>17</v>
      </c>
      <c r="E54" t="s">
        <v>13</v>
      </c>
      <c r="F54" t="s">
        <v>18</v>
      </c>
      <c r="G54">
        <v>15.72</v>
      </c>
      <c r="H54">
        <v>16.399999999999999</v>
      </c>
      <c r="I54" s="3">
        <v>45722</v>
      </c>
      <c r="J54">
        <v>77238</v>
      </c>
      <c r="K54">
        <v>16.61</v>
      </c>
      <c r="L54">
        <v>199.5</v>
      </c>
      <c r="M54">
        <v>0.4</v>
      </c>
      <c r="N54">
        <v>60</v>
      </c>
      <c r="O54" s="4">
        <v>6.2610000000000001</v>
      </c>
      <c r="Q54" s="3">
        <v>45733</v>
      </c>
      <c r="R54">
        <v>16.22</v>
      </c>
      <c r="S54" s="3">
        <v>45736</v>
      </c>
      <c r="T54">
        <v>253.5</v>
      </c>
      <c r="U54">
        <v>0.95000000000000007</v>
      </c>
      <c r="V54">
        <v>61.5</v>
      </c>
      <c r="W54">
        <v>11.64325</v>
      </c>
      <c r="X54">
        <v>0.43294768700000003</v>
      </c>
    </row>
    <row r="55" spans="1:25" x14ac:dyDescent="0.2">
      <c r="A55">
        <v>4874</v>
      </c>
      <c r="B55" t="s">
        <v>11</v>
      </c>
      <c r="C55" t="s">
        <v>2</v>
      </c>
      <c r="D55" t="s">
        <v>20</v>
      </c>
      <c r="E55" t="s">
        <v>16</v>
      </c>
      <c r="F55" t="s">
        <v>14</v>
      </c>
      <c r="G55">
        <v>13.2</v>
      </c>
      <c r="H55">
        <v>15.6</v>
      </c>
      <c r="I55" s="8">
        <v>45731</v>
      </c>
      <c r="J55" t="s">
        <v>97</v>
      </c>
      <c r="K55">
        <v>13.77</v>
      </c>
      <c r="L55">
        <v>189</v>
      </c>
      <c r="M55">
        <v>0.4</v>
      </c>
      <c r="N55">
        <v>57</v>
      </c>
      <c r="O55" s="4">
        <v>0.72113749999999999</v>
      </c>
      <c r="P55">
        <v>0.55808427599999999</v>
      </c>
      <c r="Q55" s="8">
        <v>45738</v>
      </c>
      <c r="R55">
        <v>13.61</v>
      </c>
      <c r="S55" s="8">
        <v>45741</v>
      </c>
      <c r="T55">
        <v>237</v>
      </c>
      <c r="U55">
        <v>0.64999999999999991</v>
      </c>
      <c r="V55">
        <v>52.5</v>
      </c>
      <c r="W55">
        <v>1.697675</v>
      </c>
      <c r="X55">
        <v>0.51660196999999997</v>
      </c>
      <c r="Y55">
        <v>42.78866</v>
      </c>
    </row>
    <row r="56" spans="1:25" x14ac:dyDescent="0.2">
      <c r="A56">
        <v>4875</v>
      </c>
      <c r="B56" t="s">
        <v>11</v>
      </c>
      <c r="C56" t="s">
        <v>2</v>
      </c>
      <c r="D56" t="s">
        <v>23</v>
      </c>
      <c r="E56" t="s">
        <v>13</v>
      </c>
      <c r="F56" t="s">
        <v>18</v>
      </c>
      <c r="G56">
        <v>16.690000000000001</v>
      </c>
      <c r="H56">
        <v>16.3</v>
      </c>
      <c r="I56" s="3">
        <v>45724</v>
      </c>
      <c r="J56" t="s">
        <v>89</v>
      </c>
      <c r="K56">
        <v>16.41</v>
      </c>
      <c r="L56">
        <v>240</v>
      </c>
      <c r="O56" s="4">
        <v>1.0940375</v>
      </c>
      <c r="P56">
        <v>0.366425259</v>
      </c>
      <c r="Q56" s="8">
        <v>45735</v>
      </c>
      <c r="R56">
        <v>16.27</v>
      </c>
      <c r="S56" s="8">
        <v>45739</v>
      </c>
      <c r="T56">
        <v>170.5</v>
      </c>
      <c r="U56">
        <v>0.35</v>
      </c>
      <c r="V56">
        <v>58</v>
      </c>
      <c r="W56">
        <v>0.23995000000000002</v>
      </c>
      <c r="X56">
        <v>0.78109846599999999</v>
      </c>
    </row>
    <row r="57" spans="1:25" x14ac:dyDescent="0.2">
      <c r="A57">
        <v>4876</v>
      </c>
      <c r="B57" t="s">
        <v>11</v>
      </c>
      <c r="C57" t="s">
        <v>3</v>
      </c>
      <c r="D57" t="s">
        <v>12</v>
      </c>
      <c r="E57" t="s">
        <v>16</v>
      </c>
      <c r="F57" t="s">
        <v>14</v>
      </c>
      <c r="G57">
        <v>14.55</v>
      </c>
      <c r="H57">
        <v>14.4</v>
      </c>
      <c r="I57" s="3">
        <v>45725</v>
      </c>
      <c r="J57" t="s">
        <v>93</v>
      </c>
      <c r="K57">
        <v>13.57</v>
      </c>
      <c r="L57">
        <v>206</v>
      </c>
      <c r="M57">
        <v>0.3</v>
      </c>
      <c r="N57">
        <v>50</v>
      </c>
      <c r="O57" s="4">
        <v>0.11935</v>
      </c>
      <c r="P57">
        <v>0.51218061000000004</v>
      </c>
      <c r="Q57" s="8">
        <v>45736</v>
      </c>
      <c r="R57">
        <v>13.76</v>
      </c>
      <c r="S57" s="8">
        <v>45740</v>
      </c>
      <c r="T57">
        <v>246</v>
      </c>
      <c r="U57">
        <v>0.35</v>
      </c>
      <c r="V57">
        <v>54</v>
      </c>
      <c r="W57">
        <v>7.7678875000000005</v>
      </c>
      <c r="X57">
        <v>0.453168293</v>
      </c>
      <c r="Y57">
        <v>44.833930000000002</v>
      </c>
    </row>
    <row r="58" spans="1:25" x14ac:dyDescent="0.2">
      <c r="A58">
        <v>4877</v>
      </c>
      <c r="B58" t="s">
        <v>11</v>
      </c>
      <c r="G58">
        <v>12.87</v>
      </c>
      <c r="H58">
        <v>15.4</v>
      </c>
      <c r="I58" s="8">
        <v>45727</v>
      </c>
      <c r="K58">
        <v>13.43</v>
      </c>
      <c r="L58">
        <v>209</v>
      </c>
      <c r="M58">
        <v>0.4</v>
      </c>
      <c r="N58">
        <v>50</v>
      </c>
      <c r="S58" s="8"/>
    </row>
    <row r="59" spans="1:25" x14ac:dyDescent="0.2">
      <c r="A59">
        <v>4878</v>
      </c>
      <c r="B59" t="s">
        <v>11</v>
      </c>
      <c r="C59" t="s">
        <v>3</v>
      </c>
      <c r="D59" t="s">
        <v>20</v>
      </c>
      <c r="E59" t="s">
        <v>16</v>
      </c>
      <c r="F59" t="s">
        <v>14</v>
      </c>
      <c r="G59">
        <v>15.28</v>
      </c>
      <c r="H59">
        <v>16.600000000000001</v>
      </c>
      <c r="I59" s="3">
        <v>45729</v>
      </c>
      <c r="J59" t="s">
        <v>105</v>
      </c>
      <c r="K59">
        <v>15.56</v>
      </c>
      <c r="L59">
        <v>176</v>
      </c>
      <c r="M59">
        <v>0.55000000000000004</v>
      </c>
      <c r="N59">
        <v>60</v>
      </c>
      <c r="O59" s="4">
        <v>3.1509499999999999</v>
      </c>
      <c r="P59">
        <v>1.4483351840000001</v>
      </c>
      <c r="Q59" s="8">
        <v>45741</v>
      </c>
      <c r="R59">
        <v>14.98</v>
      </c>
      <c r="S59" s="3">
        <v>45744</v>
      </c>
      <c r="T59">
        <v>200</v>
      </c>
      <c r="U59">
        <v>0.7</v>
      </c>
      <c r="V59">
        <v>66</v>
      </c>
      <c r="W59">
        <v>2.1505874999999999</v>
      </c>
      <c r="X59">
        <v>1.2372740799999999</v>
      </c>
      <c r="Y59">
        <v>44.854799999999997</v>
      </c>
    </row>
    <row r="60" spans="1:25" x14ac:dyDescent="0.2">
      <c r="A60">
        <v>4879</v>
      </c>
      <c r="B60" t="s">
        <v>11</v>
      </c>
      <c r="G60">
        <v>15.99</v>
      </c>
      <c r="H60">
        <v>16.5</v>
      </c>
      <c r="I60" s="3">
        <v>45726</v>
      </c>
      <c r="K60">
        <v>15.24</v>
      </c>
      <c r="L60">
        <v>218</v>
      </c>
      <c r="M60">
        <v>0.2</v>
      </c>
      <c r="N60">
        <v>48</v>
      </c>
      <c r="S60" s="3"/>
    </row>
    <row r="61" spans="1:25" x14ac:dyDescent="0.2">
      <c r="A61">
        <v>4880</v>
      </c>
      <c r="B61" t="s">
        <v>11</v>
      </c>
      <c r="C61" t="s">
        <v>2</v>
      </c>
      <c r="D61" t="s">
        <v>17</v>
      </c>
      <c r="E61" t="s">
        <v>16</v>
      </c>
      <c r="F61" t="s">
        <v>18</v>
      </c>
      <c r="G61">
        <v>13.03</v>
      </c>
      <c r="H61">
        <v>15.6</v>
      </c>
      <c r="I61" s="3">
        <v>45728</v>
      </c>
      <c r="J61" t="s">
        <v>102</v>
      </c>
      <c r="K61">
        <v>15.42</v>
      </c>
      <c r="L61">
        <v>213</v>
      </c>
      <c r="M61">
        <v>0.6</v>
      </c>
      <c r="N61">
        <v>60</v>
      </c>
      <c r="O61" s="4">
        <v>0.63824999999999998</v>
      </c>
      <c r="Q61" s="8">
        <v>45740</v>
      </c>
      <c r="R61">
        <v>16.2</v>
      </c>
      <c r="S61" s="3">
        <v>45743</v>
      </c>
      <c r="T61">
        <v>178</v>
      </c>
      <c r="U61">
        <v>0.25</v>
      </c>
      <c r="W61">
        <v>1.7916875000000001</v>
      </c>
      <c r="X61">
        <v>1.8151197809999999</v>
      </c>
      <c r="Y61">
        <v>42.575490000000002</v>
      </c>
    </row>
    <row r="62" spans="1:25" x14ac:dyDescent="0.2">
      <c r="A62">
        <v>4881</v>
      </c>
      <c r="B62" t="s">
        <v>11</v>
      </c>
      <c r="C62" t="s">
        <v>3</v>
      </c>
      <c r="D62" t="s">
        <v>12</v>
      </c>
      <c r="E62" t="s">
        <v>13</v>
      </c>
      <c r="F62" t="s">
        <v>14</v>
      </c>
      <c r="G62">
        <v>13.04</v>
      </c>
      <c r="H62">
        <v>15.9</v>
      </c>
      <c r="I62" s="3">
        <v>45731</v>
      </c>
      <c r="J62" t="s">
        <v>113</v>
      </c>
      <c r="K62">
        <v>14.42</v>
      </c>
      <c r="L62">
        <v>187</v>
      </c>
      <c r="M62">
        <v>0.3</v>
      </c>
      <c r="O62" s="4">
        <v>1.2331125000000001</v>
      </c>
      <c r="P62">
        <v>0.49553965799999999</v>
      </c>
      <c r="Q62" s="8">
        <v>45743</v>
      </c>
      <c r="R62">
        <v>14.83</v>
      </c>
      <c r="S62" s="3">
        <v>45746</v>
      </c>
      <c r="T62" t="s">
        <v>140</v>
      </c>
      <c r="U62" t="s">
        <v>140</v>
      </c>
      <c r="V62" t="s">
        <v>140</v>
      </c>
      <c r="Y62">
        <v>46.643720000000002</v>
      </c>
    </row>
    <row r="63" spans="1:25" x14ac:dyDescent="0.2">
      <c r="A63">
        <v>4882</v>
      </c>
      <c r="B63" t="s">
        <v>11</v>
      </c>
      <c r="C63" t="s">
        <v>2</v>
      </c>
      <c r="D63" t="s">
        <v>20</v>
      </c>
      <c r="E63" t="s">
        <v>16</v>
      </c>
      <c r="F63" t="s">
        <v>14</v>
      </c>
      <c r="G63">
        <v>14</v>
      </c>
      <c r="H63">
        <v>15.8</v>
      </c>
      <c r="I63" s="8">
        <v>44642</v>
      </c>
      <c r="J63" t="s">
        <v>82</v>
      </c>
      <c r="K63">
        <v>13.1</v>
      </c>
      <c r="L63">
        <v>242.5</v>
      </c>
      <c r="M63">
        <v>0.5</v>
      </c>
      <c r="N63">
        <v>56</v>
      </c>
      <c r="O63" s="4">
        <v>1.1765000000000001</v>
      </c>
      <c r="Q63" s="8">
        <v>45750</v>
      </c>
      <c r="R63">
        <v>13.98</v>
      </c>
      <c r="S63" s="3">
        <v>45753</v>
      </c>
      <c r="T63">
        <v>172</v>
      </c>
      <c r="U63">
        <v>0.6</v>
      </c>
      <c r="V63">
        <v>64</v>
      </c>
      <c r="W63">
        <v>3.0166624999999998</v>
      </c>
      <c r="X63">
        <v>2.7156698289999999</v>
      </c>
      <c r="Y63">
        <v>41.695369999999997</v>
      </c>
    </row>
    <row r="64" spans="1:25" x14ac:dyDescent="0.2">
      <c r="A64">
        <v>4883</v>
      </c>
      <c r="B64" t="s">
        <v>11</v>
      </c>
      <c r="C64" t="s">
        <v>3</v>
      </c>
      <c r="D64" t="s">
        <v>22</v>
      </c>
      <c r="E64" t="s">
        <v>16</v>
      </c>
      <c r="F64" t="s">
        <v>18</v>
      </c>
      <c r="G64">
        <v>13.18</v>
      </c>
      <c r="H64">
        <v>15.6</v>
      </c>
      <c r="I64" s="3">
        <v>45729</v>
      </c>
      <c r="J64" t="s">
        <v>100</v>
      </c>
      <c r="K64">
        <v>13.41</v>
      </c>
      <c r="L64">
        <v>208</v>
      </c>
      <c r="M64">
        <v>0.3</v>
      </c>
      <c r="O64" s="4">
        <v>0.37175000000000002</v>
      </c>
      <c r="P64">
        <v>0.69588469500000005</v>
      </c>
      <c r="Q64" s="8">
        <v>45739</v>
      </c>
      <c r="R64">
        <v>14.26</v>
      </c>
      <c r="S64" s="3">
        <v>45741</v>
      </c>
      <c r="T64">
        <v>240</v>
      </c>
      <c r="U64">
        <v>0.5</v>
      </c>
      <c r="V64">
        <v>54</v>
      </c>
      <c r="W64">
        <v>3.7442875</v>
      </c>
      <c r="X64">
        <v>1.0707726879999999</v>
      </c>
      <c r="Y64">
        <v>42.844580000000001</v>
      </c>
    </row>
    <row r="65" spans="1:25" x14ac:dyDescent="0.2">
      <c r="A65">
        <v>4884</v>
      </c>
      <c r="B65" t="s">
        <v>11</v>
      </c>
      <c r="C65" t="s">
        <v>3</v>
      </c>
      <c r="D65" t="s">
        <v>23</v>
      </c>
      <c r="E65" t="s">
        <v>16</v>
      </c>
      <c r="F65" t="s">
        <v>18</v>
      </c>
      <c r="G65">
        <v>12.82</v>
      </c>
      <c r="H65">
        <v>15.9</v>
      </c>
      <c r="I65" s="8">
        <v>45730</v>
      </c>
      <c r="J65" t="s">
        <v>109</v>
      </c>
      <c r="K65">
        <v>12.86</v>
      </c>
      <c r="L65">
        <v>183.5</v>
      </c>
      <c r="M65">
        <v>0.3</v>
      </c>
      <c r="N65">
        <v>55</v>
      </c>
      <c r="O65" s="4">
        <v>1.0259</v>
      </c>
      <c r="P65">
        <v>1.4024203740000001</v>
      </c>
      <c r="Q65" s="8">
        <v>45742</v>
      </c>
      <c r="R65">
        <v>12.89</v>
      </c>
      <c r="S65" s="8">
        <v>45745</v>
      </c>
      <c r="T65">
        <v>216.5</v>
      </c>
      <c r="U65">
        <v>0.4</v>
      </c>
      <c r="V65">
        <v>58</v>
      </c>
      <c r="W65">
        <v>2.6934374999999999</v>
      </c>
      <c r="X65">
        <v>0.96518736500000002</v>
      </c>
      <c r="Y65">
        <v>44.766150000000003</v>
      </c>
    </row>
    <row r="66" spans="1:25" x14ac:dyDescent="0.2">
      <c r="A66">
        <v>4885</v>
      </c>
      <c r="B66" t="s">
        <v>11</v>
      </c>
      <c r="C66" t="s">
        <v>3</v>
      </c>
      <c r="D66" t="s">
        <v>20</v>
      </c>
      <c r="E66" t="s">
        <v>13</v>
      </c>
      <c r="F66" t="s">
        <v>14</v>
      </c>
      <c r="G66">
        <v>12.96</v>
      </c>
      <c r="H66">
        <v>14.7</v>
      </c>
      <c r="I66" s="3">
        <v>45732</v>
      </c>
      <c r="J66" t="s">
        <v>117</v>
      </c>
      <c r="K66">
        <v>12.69</v>
      </c>
      <c r="L66">
        <v>163</v>
      </c>
      <c r="M66">
        <v>0.7</v>
      </c>
      <c r="N66">
        <v>63</v>
      </c>
      <c r="O66" s="4">
        <v>2.3387375000000001</v>
      </c>
      <c r="P66">
        <v>0.57592829599999995</v>
      </c>
      <c r="Q66" s="8">
        <v>45744</v>
      </c>
      <c r="R66">
        <v>13.98</v>
      </c>
      <c r="S66" s="3">
        <v>45747</v>
      </c>
      <c r="T66" t="s">
        <v>140</v>
      </c>
      <c r="U66" t="s">
        <v>140</v>
      </c>
      <c r="V66" t="s">
        <v>140</v>
      </c>
      <c r="Y66">
        <v>47.196599999999997</v>
      </c>
    </row>
    <row r="67" spans="1:25" x14ac:dyDescent="0.2">
      <c r="A67">
        <v>4886</v>
      </c>
      <c r="B67" t="s">
        <v>11</v>
      </c>
      <c r="C67" t="s">
        <v>2</v>
      </c>
      <c r="D67" t="s">
        <v>23</v>
      </c>
      <c r="E67" t="s">
        <v>13</v>
      </c>
      <c r="F67" t="s">
        <v>14</v>
      </c>
      <c r="G67">
        <v>15.75</v>
      </c>
      <c r="H67">
        <v>16.100000000000001</v>
      </c>
      <c r="I67" s="3">
        <v>45733</v>
      </c>
      <c r="J67" t="s">
        <v>120</v>
      </c>
      <c r="K67">
        <v>16.489999999999998</v>
      </c>
      <c r="L67">
        <v>304.5</v>
      </c>
      <c r="M67">
        <v>0.2</v>
      </c>
      <c r="N67">
        <v>46</v>
      </c>
      <c r="O67" s="4">
        <v>0.57426250000000001</v>
      </c>
      <c r="P67">
        <v>0.45082531999999997</v>
      </c>
      <c r="Q67" s="8">
        <v>45745</v>
      </c>
      <c r="R67">
        <v>16.989999999999998</v>
      </c>
      <c r="S67" s="3">
        <v>45748</v>
      </c>
      <c r="T67">
        <v>195</v>
      </c>
      <c r="U67">
        <v>0.4</v>
      </c>
      <c r="V67">
        <v>56.5</v>
      </c>
      <c r="W67">
        <v>0.91468749999999999</v>
      </c>
      <c r="X67">
        <v>1.047020536</v>
      </c>
      <c r="Y67">
        <v>42.68235</v>
      </c>
    </row>
    <row r="68" spans="1:25" x14ac:dyDescent="0.2">
      <c r="A68">
        <v>4887</v>
      </c>
      <c r="B68" t="s">
        <v>11</v>
      </c>
      <c r="C68" t="s">
        <v>2</v>
      </c>
      <c r="D68" t="s">
        <v>17</v>
      </c>
      <c r="E68" t="s">
        <v>13</v>
      </c>
      <c r="F68" t="s">
        <v>14</v>
      </c>
      <c r="G68">
        <v>14.29</v>
      </c>
      <c r="H68">
        <v>17.399999999999999</v>
      </c>
      <c r="I68" s="3">
        <v>45734</v>
      </c>
      <c r="J68" t="s">
        <v>122</v>
      </c>
      <c r="K68">
        <v>14.89</v>
      </c>
      <c r="L68">
        <v>218</v>
      </c>
      <c r="M68">
        <v>0.55000000000000004</v>
      </c>
      <c r="N68">
        <v>58</v>
      </c>
      <c r="O68" s="4">
        <v>1.5440624999999999</v>
      </c>
      <c r="P68">
        <v>0.99258470899999995</v>
      </c>
      <c r="Q68" s="8">
        <v>45746</v>
      </c>
      <c r="R68">
        <v>15.89</v>
      </c>
      <c r="S68" s="3">
        <v>45749</v>
      </c>
      <c r="T68">
        <v>232</v>
      </c>
      <c r="U68">
        <v>0.7</v>
      </c>
      <c r="V68">
        <v>54.5</v>
      </c>
      <c r="W68">
        <v>1.8440124999999998</v>
      </c>
      <c r="X68">
        <v>0.78445458700000004</v>
      </c>
      <c r="Y68">
        <v>42.453620000000001</v>
      </c>
    </row>
    <row r="69" spans="1:25" x14ac:dyDescent="0.2">
      <c r="A69">
        <v>4888</v>
      </c>
      <c r="B69" t="s">
        <v>11</v>
      </c>
      <c r="C69" t="s">
        <v>2</v>
      </c>
      <c r="D69" t="s">
        <v>17</v>
      </c>
      <c r="E69" t="s">
        <v>16</v>
      </c>
      <c r="F69" t="s">
        <v>18</v>
      </c>
      <c r="G69">
        <v>14.25</v>
      </c>
      <c r="H69">
        <v>16.899999999999999</v>
      </c>
      <c r="I69" s="3">
        <v>45736</v>
      </c>
      <c r="J69" t="s">
        <v>75</v>
      </c>
      <c r="K69">
        <v>13.92</v>
      </c>
      <c r="L69">
        <v>202.5</v>
      </c>
      <c r="M69">
        <v>0.45</v>
      </c>
      <c r="N69">
        <v>58</v>
      </c>
      <c r="O69" s="4">
        <v>0.98585</v>
      </c>
      <c r="P69">
        <v>0.78467009099999996</v>
      </c>
      <c r="Q69" s="8">
        <v>45748</v>
      </c>
      <c r="R69">
        <v>13.65</v>
      </c>
      <c r="S69" s="3">
        <v>45751</v>
      </c>
      <c r="T69">
        <v>157</v>
      </c>
      <c r="U69">
        <v>0.4</v>
      </c>
      <c r="V69">
        <v>60</v>
      </c>
      <c r="W69">
        <v>0.56210000000000004</v>
      </c>
      <c r="X69">
        <v>0.51051798000000004</v>
      </c>
    </row>
    <row r="70" spans="1:25" x14ac:dyDescent="0.2">
      <c r="A70">
        <v>4890</v>
      </c>
      <c r="B70" t="s">
        <v>11</v>
      </c>
      <c r="C70" t="s">
        <v>2</v>
      </c>
      <c r="D70" t="s">
        <v>20</v>
      </c>
      <c r="E70" t="s">
        <v>13</v>
      </c>
      <c r="F70" t="s">
        <v>14</v>
      </c>
      <c r="G70">
        <v>14.28</v>
      </c>
      <c r="H70">
        <v>17.100000000000001</v>
      </c>
      <c r="I70" s="3">
        <v>45735</v>
      </c>
      <c r="J70" t="s">
        <v>124</v>
      </c>
      <c r="K70">
        <v>19.829999999999998</v>
      </c>
      <c r="L70">
        <v>196</v>
      </c>
      <c r="M70">
        <v>0.35</v>
      </c>
      <c r="N70">
        <v>60</v>
      </c>
      <c r="O70" s="4">
        <v>1.3312999999999999</v>
      </c>
      <c r="P70">
        <v>0.442654461</v>
      </c>
      <c r="Q70" s="8">
        <v>45747</v>
      </c>
      <c r="R70">
        <v>19.21</v>
      </c>
      <c r="S70" s="3">
        <v>45750</v>
      </c>
      <c r="T70">
        <v>196</v>
      </c>
      <c r="U70">
        <v>0.55000000000000004</v>
      </c>
      <c r="V70">
        <v>60</v>
      </c>
      <c r="W70">
        <v>1.6642375000000003</v>
      </c>
      <c r="X70">
        <v>1.2611565579999999</v>
      </c>
      <c r="Y70">
        <v>40.406320000000001</v>
      </c>
    </row>
    <row r="71" spans="1:25" x14ac:dyDescent="0.2">
      <c r="A71">
        <v>4891</v>
      </c>
      <c r="B71" t="s">
        <v>11</v>
      </c>
      <c r="C71" t="s">
        <v>2</v>
      </c>
      <c r="D71" t="s">
        <v>12</v>
      </c>
      <c r="E71" t="s">
        <v>16</v>
      </c>
      <c r="F71" t="s">
        <v>18</v>
      </c>
      <c r="G71">
        <v>16.940000000000001</v>
      </c>
      <c r="H71">
        <v>16.600000000000001</v>
      </c>
      <c r="I71" s="3">
        <v>45737</v>
      </c>
      <c r="J71" t="s">
        <v>128</v>
      </c>
      <c r="K71">
        <v>18.010000000000002</v>
      </c>
      <c r="L71">
        <v>189.5</v>
      </c>
      <c r="M71">
        <v>0.45</v>
      </c>
      <c r="N71">
        <v>56</v>
      </c>
      <c r="O71" s="4">
        <v>0.53300000000000003</v>
      </c>
      <c r="P71">
        <v>1.070366393</v>
      </c>
      <c r="Q71" s="8">
        <v>45749</v>
      </c>
      <c r="R71">
        <v>18.16</v>
      </c>
      <c r="S71" s="8">
        <v>45752</v>
      </c>
      <c r="T71">
        <v>206.5</v>
      </c>
      <c r="U71">
        <v>0.7</v>
      </c>
      <c r="V71">
        <v>57</v>
      </c>
      <c r="W71">
        <v>1.20295</v>
      </c>
      <c r="X71">
        <v>0.953012674</v>
      </c>
    </row>
    <row r="72" spans="1:25" x14ac:dyDescent="0.2">
      <c r="A72">
        <v>4892</v>
      </c>
      <c r="B72" t="s">
        <v>11</v>
      </c>
      <c r="C72" t="s">
        <v>3</v>
      </c>
      <c r="D72" t="s">
        <v>22</v>
      </c>
      <c r="E72" t="s">
        <v>16</v>
      </c>
      <c r="F72" t="s">
        <v>18</v>
      </c>
      <c r="G72">
        <v>13.46</v>
      </c>
      <c r="H72">
        <v>16.2</v>
      </c>
      <c r="I72" s="3">
        <v>45740</v>
      </c>
      <c r="J72" t="s">
        <v>89</v>
      </c>
      <c r="K72">
        <v>13.5</v>
      </c>
      <c r="L72">
        <v>240</v>
      </c>
      <c r="M72">
        <v>0.7</v>
      </c>
      <c r="O72" s="4">
        <v>1.8333625</v>
      </c>
      <c r="P72">
        <v>0.49511049699999998</v>
      </c>
      <c r="Q72" s="8">
        <v>45751</v>
      </c>
      <c r="R72">
        <v>13.35</v>
      </c>
      <c r="S72" s="3">
        <v>45754</v>
      </c>
      <c r="T72">
        <v>265</v>
      </c>
      <c r="U72">
        <v>0.6</v>
      </c>
      <c r="V72">
        <v>62.5</v>
      </c>
      <c r="W72">
        <v>6.2869124999999997</v>
      </c>
      <c r="X72">
        <v>0.804448944</v>
      </c>
      <c r="Y72">
        <v>43.687899999999999</v>
      </c>
    </row>
    <row r="73" spans="1:25" x14ac:dyDescent="0.2">
      <c r="A73">
        <v>4893</v>
      </c>
      <c r="B73" t="s">
        <v>15</v>
      </c>
      <c r="C73" t="s">
        <v>3</v>
      </c>
      <c r="D73" t="s">
        <v>17</v>
      </c>
      <c r="E73" t="s">
        <v>16</v>
      </c>
      <c r="F73" t="s">
        <v>18</v>
      </c>
      <c r="G73">
        <v>14.4</v>
      </c>
      <c r="H73">
        <v>16.600000000000001</v>
      </c>
      <c r="I73" s="3">
        <v>45719</v>
      </c>
      <c r="J73" t="s">
        <v>74</v>
      </c>
      <c r="K73">
        <v>15.39</v>
      </c>
      <c r="L73">
        <v>218</v>
      </c>
      <c r="M73">
        <v>0.4</v>
      </c>
      <c r="N73">
        <v>52.5</v>
      </c>
      <c r="O73" s="4">
        <v>0.17155987</v>
      </c>
      <c r="P73">
        <v>0.48014817999999998</v>
      </c>
      <c r="Q73" s="3">
        <v>45730</v>
      </c>
      <c r="R73">
        <v>15.66</v>
      </c>
      <c r="S73" s="3"/>
    </row>
    <row r="74" spans="1:25" x14ac:dyDescent="0.2">
      <c r="A74">
        <v>4894</v>
      </c>
      <c r="B74" t="s">
        <v>15</v>
      </c>
      <c r="C74" t="s">
        <v>2</v>
      </c>
      <c r="D74" t="s">
        <v>21</v>
      </c>
      <c r="E74" t="s">
        <v>16</v>
      </c>
      <c r="F74" t="s">
        <v>18</v>
      </c>
      <c r="G74">
        <v>14.1</v>
      </c>
      <c r="H74">
        <v>14.4</v>
      </c>
      <c r="I74" s="3">
        <v>45720</v>
      </c>
      <c r="J74" t="s">
        <v>78</v>
      </c>
      <c r="K74">
        <v>15.52</v>
      </c>
      <c r="L74">
        <v>180</v>
      </c>
      <c r="M74">
        <v>0.3</v>
      </c>
      <c r="N74">
        <v>61</v>
      </c>
      <c r="O74" s="4">
        <v>0.29348750000000001</v>
      </c>
      <c r="P74">
        <v>0.74578451199999996</v>
      </c>
      <c r="Q74" s="3">
        <v>45731</v>
      </c>
      <c r="R74">
        <v>15.95</v>
      </c>
      <c r="S74" s="3">
        <v>45734</v>
      </c>
      <c r="T74">
        <v>232.5</v>
      </c>
      <c r="U74">
        <v>0.35</v>
      </c>
      <c r="V74">
        <v>58</v>
      </c>
      <c r="W74">
        <v>1.6728375000000002</v>
      </c>
      <c r="X74">
        <v>0.68701274800000001</v>
      </c>
      <c r="Y74">
        <v>42.7838785</v>
      </c>
    </row>
    <row r="75" spans="1:25" x14ac:dyDescent="0.2">
      <c r="A75">
        <v>4895</v>
      </c>
      <c r="B75" t="s">
        <v>15</v>
      </c>
      <c r="C75" t="s">
        <v>3</v>
      </c>
      <c r="D75" t="s">
        <v>23</v>
      </c>
      <c r="E75" t="s">
        <v>16</v>
      </c>
      <c r="F75" t="s">
        <v>18</v>
      </c>
      <c r="G75">
        <v>12.78</v>
      </c>
      <c r="H75">
        <v>16</v>
      </c>
      <c r="I75" s="8">
        <v>45721</v>
      </c>
      <c r="J75" t="s">
        <v>81</v>
      </c>
      <c r="K75">
        <v>14.99</v>
      </c>
      <c r="L75">
        <v>219</v>
      </c>
      <c r="M75">
        <v>0.25</v>
      </c>
      <c r="N75">
        <v>54.5</v>
      </c>
      <c r="O75" s="4">
        <v>0.53452500000000003</v>
      </c>
      <c r="P75">
        <v>0.75948522900000004</v>
      </c>
      <c r="Q75" s="3">
        <v>45732</v>
      </c>
      <c r="R75">
        <v>14.7</v>
      </c>
      <c r="S75" s="8">
        <v>45735</v>
      </c>
      <c r="T75">
        <v>243</v>
      </c>
      <c r="U75">
        <v>0.4</v>
      </c>
      <c r="V75">
        <v>60</v>
      </c>
      <c r="W75">
        <v>1.8461749999999999</v>
      </c>
      <c r="X75">
        <v>0.50858289800000001</v>
      </c>
    </row>
    <row r="76" spans="1:25" x14ac:dyDescent="0.2">
      <c r="A76">
        <v>4896</v>
      </c>
      <c r="B76" t="s">
        <v>15</v>
      </c>
      <c r="C76" t="s">
        <v>2</v>
      </c>
      <c r="D76" t="s">
        <v>17</v>
      </c>
      <c r="E76" t="s">
        <v>16</v>
      </c>
      <c r="F76" t="s">
        <v>18</v>
      </c>
      <c r="G76">
        <v>13.3</v>
      </c>
      <c r="H76">
        <v>17.5</v>
      </c>
      <c r="I76" s="3">
        <v>45722</v>
      </c>
      <c r="J76" t="s">
        <v>83</v>
      </c>
      <c r="K76">
        <v>15.34</v>
      </c>
      <c r="L76">
        <v>241</v>
      </c>
      <c r="M76">
        <v>0.45</v>
      </c>
      <c r="N76">
        <v>56</v>
      </c>
      <c r="P76">
        <v>0.85814645700000003</v>
      </c>
      <c r="Q76" s="3">
        <v>45733</v>
      </c>
      <c r="R76">
        <v>15.04</v>
      </c>
      <c r="S76" s="3"/>
    </row>
    <row r="77" spans="1:25" x14ac:dyDescent="0.2">
      <c r="A77">
        <v>4897</v>
      </c>
      <c r="B77" t="s">
        <v>15</v>
      </c>
      <c r="G77">
        <v>11.43</v>
      </c>
      <c r="H77">
        <v>15.4</v>
      </c>
      <c r="I77" s="3">
        <v>45723</v>
      </c>
      <c r="K77">
        <v>13.09</v>
      </c>
      <c r="L77">
        <v>201</v>
      </c>
      <c r="M77">
        <v>0.35</v>
      </c>
      <c r="O77" s="4">
        <v>1.3603749999999999</v>
      </c>
      <c r="S77" s="3"/>
    </row>
    <row r="78" spans="1:25" x14ac:dyDescent="0.2">
      <c r="A78">
        <v>4898</v>
      </c>
      <c r="B78" t="s">
        <v>15</v>
      </c>
      <c r="C78" t="s">
        <v>2</v>
      </c>
      <c r="D78" t="s">
        <v>23</v>
      </c>
      <c r="E78" t="s">
        <v>16</v>
      </c>
      <c r="F78" t="s">
        <v>18</v>
      </c>
      <c r="G78">
        <v>14.73</v>
      </c>
      <c r="H78">
        <v>17.3</v>
      </c>
      <c r="I78" s="3">
        <v>45725</v>
      </c>
      <c r="J78" t="s">
        <v>90</v>
      </c>
      <c r="K78">
        <v>16.899999999999999</v>
      </c>
      <c r="L78">
        <v>207</v>
      </c>
      <c r="M78">
        <v>0.35</v>
      </c>
      <c r="N78">
        <v>46</v>
      </c>
      <c r="O78" s="4">
        <v>0.33718749999999997</v>
      </c>
      <c r="P78">
        <v>0.70236180699999995</v>
      </c>
      <c r="Q78" s="8">
        <v>45735</v>
      </c>
      <c r="R78">
        <v>13.82</v>
      </c>
      <c r="S78" s="8">
        <v>45739</v>
      </c>
      <c r="T78">
        <v>167.5</v>
      </c>
      <c r="U78">
        <v>0.3</v>
      </c>
      <c r="V78">
        <v>63.5</v>
      </c>
      <c r="W78">
        <v>2.0110375</v>
      </c>
      <c r="X78">
        <v>1.449794233</v>
      </c>
    </row>
    <row r="79" spans="1:25" x14ac:dyDescent="0.2">
      <c r="A79">
        <v>4899</v>
      </c>
      <c r="B79" t="s">
        <v>15</v>
      </c>
      <c r="C79" t="s">
        <v>2</v>
      </c>
      <c r="D79" t="s">
        <v>17</v>
      </c>
      <c r="E79" t="s">
        <v>13</v>
      </c>
      <c r="F79" t="s">
        <v>18</v>
      </c>
      <c r="G79">
        <v>11.88</v>
      </c>
      <c r="H79">
        <v>16.3</v>
      </c>
      <c r="I79" s="3">
        <v>45724</v>
      </c>
      <c r="J79" t="s">
        <v>79</v>
      </c>
      <c r="K79">
        <v>13.66</v>
      </c>
      <c r="L79">
        <v>193.5</v>
      </c>
      <c r="M79">
        <v>0.4</v>
      </c>
      <c r="N79">
        <v>52</v>
      </c>
      <c r="O79" s="4">
        <v>0.41457500000000003</v>
      </c>
      <c r="P79">
        <v>1.3502249719999999</v>
      </c>
      <c r="Q79" s="8">
        <v>45748</v>
      </c>
      <c r="R79">
        <v>14.02</v>
      </c>
      <c r="S79" s="8">
        <v>45751</v>
      </c>
      <c r="T79">
        <v>196</v>
      </c>
      <c r="U79">
        <v>0.2</v>
      </c>
      <c r="W79">
        <v>1.0325374999999999</v>
      </c>
      <c r="X79">
        <v>0.91978800699999996</v>
      </c>
    </row>
    <row r="80" spans="1:25" x14ac:dyDescent="0.2">
      <c r="A80">
        <v>4900</v>
      </c>
      <c r="B80" t="s">
        <v>15</v>
      </c>
      <c r="C80" t="s">
        <v>2</v>
      </c>
      <c r="D80" t="s">
        <v>20</v>
      </c>
      <c r="E80" t="s">
        <v>13</v>
      </c>
      <c r="F80" t="s">
        <v>14</v>
      </c>
      <c r="G80">
        <v>12.58</v>
      </c>
      <c r="H80">
        <v>15.1</v>
      </c>
      <c r="I80" s="8">
        <v>45727</v>
      </c>
      <c r="J80" t="s">
        <v>98</v>
      </c>
      <c r="K80">
        <v>13.7</v>
      </c>
      <c r="L80">
        <v>161</v>
      </c>
      <c r="M80">
        <v>0.55000000000000004</v>
      </c>
      <c r="N80">
        <v>61</v>
      </c>
      <c r="O80" s="4">
        <v>1.2679875</v>
      </c>
      <c r="P80">
        <v>1.3263449709999999</v>
      </c>
      <c r="Q80" s="8">
        <v>45738</v>
      </c>
      <c r="R80">
        <v>13.95</v>
      </c>
      <c r="S80" s="8">
        <v>45741</v>
      </c>
      <c r="T80">
        <v>155.5</v>
      </c>
      <c r="U80">
        <v>0.35</v>
      </c>
      <c r="V80">
        <v>62.5</v>
      </c>
      <c r="W80">
        <v>7.9100875000000004</v>
      </c>
      <c r="X80">
        <v>0.683100178</v>
      </c>
      <c r="Y80">
        <v>38.88823</v>
      </c>
    </row>
    <row r="81" spans="1:25" x14ac:dyDescent="0.2">
      <c r="A81">
        <v>4901</v>
      </c>
      <c r="B81" t="s">
        <v>15</v>
      </c>
      <c r="C81" t="s">
        <v>2</v>
      </c>
      <c r="D81" t="s">
        <v>20</v>
      </c>
      <c r="E81" t="s">
        <v>16</v>
      </c>
      <c r="F81" t="s">
        <v>14</v>
      </c>
      <c r="G81">
        <v>17.37</v>
      </c>
      <c r="H81">
        <v>17</v>
      </c>
      <c r="I81" s="3">
        <v>45737</v>
      </c>
      <c r="J81" t="s">
        <v>83</v>
      </c>
      <c r="K81">
        <v>17.03</v>
      </c>
      <c r="L81">
        <v>282</v>
      </c>
      <c r="M81">
        <v>0.7</v>
      </c>
      <c r="N81">
        <v>56</v>
      </c>
      <c r="O81" s="4">
        <v>0.46891250000000001</v>
      </c>
      <c r="P81">
        <v>1.6700609550000001</v>
      </c>
      <c r="Q81" s="8">
        <v>45747</v>
      </c>
      <c r="R81">
        <v>17.670000000000002</v>
      </c>
      <c r="S81" s="8">
        <v>45750</v>
      </c>
      <c r="T81">
        <v>232</v>
      </c>
      <c r="U81">
        <v>0.55000000000000004</v>
      </c>
      <c r="V81">
        <v>54</v>
      </c>
      <c r="W81">
        <v>4.9053500000000003</v>
      </c>
      <c r="X81">
        <v>2.1272227629999998</v>
      </c>
      <c r="Y81">
        <v>41.946370000000002</v>
      </c>
    </row>
    <row r="82" spans="1:25" x14ac:dyDescent="0.2">
      <c r="A82">
        <v>4902</v>
      </c>
      <c r="B82" t="s">
        <v>15</v>
      </c>
      <c r="C82" t="s">
        <v>3</v>
      </c>
      <c r="D82" t="s">
        <v>12</v>
      </c>
      <c r="E82" t="s">
        <v>13</v>
      </c>
      <c r="F82" t="s">
        <v>14</v>
      </c>
      <c r="G82">
        <v>12.9</v>
      </c>
      <c r="H82">
        <v>15.9</v>
      </c>
      <c r="I82" s="3">
        <v>45726</v>
      </c>
      <c r="J82" t="s">
        <v>94</v>
      </c>
      <c r="K82">
        <v>13.62</v>
      </c>
      <c r="L82">
        <v>186.33333333333334</v>
      </c>
      <c r="M82">
        <v>0.45</v>
      </c>
      <c r="N82">
        <v>48</v>
      </c>
      <c r="O82" s="4">
        <v>0.56967500000000004</v>
      </c>
      <c r="P82">
        <v>9.5088977000000005E-2</v>
      </c>
      <c r="Q82" s="8">
        <v>45736</v>
      </c>
      <c r="R82">
        <v>13.58</v>
      </c>
      <c r="S82" s="3">
        <v>45740</v>
      </c>
      <c r="T82">
        <v>208.5</v>
      </c>
      <c r="U82">
        <v>0.55000000000000004</v>
      </c>
      <c r="V82">
        <v>55.5</v>
      </c>
      <c r="W82">
        <v>26.293262499999997</v>
      </c>
      <c r="X82">
        <v>0.72360315100000006</v>
      </c>
      <c r="Y82">
        <v>43.556699999999999</v>
      </c>
    </row>
    <row r="83" spans="1:25" x14ac:dyDescent="0.2">
      <c r="A83">
        <v>4903</v>
      </c>
      <c r="B83" t="s">
        <v>15</v>
      </c>
      <c r="C83" t="s">
        <v>3</v>
      </c>
      <c r="D83" t="s">
        <v>22</v>
      </c>
      <c r="E83" t="s">
        <v>13</v>
      </c>
      <c r="F83" t="s">
        <v>18</v>
      </c>
      <c r="G83">
        <v>14.42</v>
      </c>
      <c r="H83">
        <v>15.1</v>
      </c>
      <c r="I83" s="3">
        <v>45728</v>
      </c>
      <c r="J83">
        <v>77233</v>
      </c>
      <c r="K83">
        <v>14.72</v>
      </c>
      <c r="L83">
        <v>214.5</v>
      </c>
      <c r="M83">
        <v>0.3</v>
      </c>
      <c r="N83">
        <v>58</v>
      </c>
      <c r="O83" s="4">
        <v>0.18291250000000001</v>
      </c>
      <c r="P83">
        <v>1.2267969569999999</v>
      </c>
      <c r="Q83" s="3">
        <v>45739</v>
      </c>
      <c r="R83">
        <v>14.62</v>
      </c>
      <c r="S83" s="3">
        <v>45741</v>
      </c>
      <c r="T83">
        <v>196.5</v>
      </c>
      <c r="U83">
        <v>0.35</v>
      </c>
      <c r="V83">
        <v>60</v>
      </c>
      <c r="W83">
        <v>0.55052499999999993</v>
      </c>
      <c r="X83">
        <v>0.53175395800000003</v>
      </c>
      <c r="Y83">
        <v>41.482410000000002</v>
      </c>
    </row>
    <row r="84" spans="1:25" x14ac:dyDescent="0.2">
      <c r="A84">
        <v>4904</v>
      </c>
      <c r="B84" t="s">
        <v>15</v>
      </c>
      <c r="C84" t="s">
        <v>2</v>
      </c>
      <c r="D84" t="s">
        <v>17</v>
      </c>
      <c r="E84" t="s">
        <v>13</v>
      </c>
      <c r="F84" t="s">
        <v>18</v>
      </c>
      <c r="G84">
        <v>15.17</v>
      </c>
      <c r="H84">
        <v>15.8</v>
      </c>
      <c r="I84" s="8">
        <v>45730</v>
      </c>
      <c r="J84">
        <v>77244</v>
      </c>
      <c r="K84">
        <v>15.37</v>
      </c>
      <c r="L84">
        <v>178</v>
      </c>
      <c r="M84">
        <v>0.4</v>
      </c>
      <c r="N84">
        <v>64</v>
      </c>
      <c r="O84" s="4">
        <v>1.2681374999999999</v>
      </c>
      <c r="P84">
        <v>1.4549312539999999</v>
      </c>
      <c r="Q84" s="8">
        <v>45740</v>
      </c>
      <c r="R84">
        <v>15.88</v>
      </c>
      <c r="S84" s="3">
        <v>45743</v>
      </c>
      <c r="V84">
        <v>64</v>
      </c>
      <c r="W84">
        <v>3.3655249999999999</v>
      </c>
      <c r="X84">
        <v>2.1401201670000001</v>
      </c>
      <c r="Y84">
        <v>43.188119999999998</v>
      </c>
    </row>
    <row r="85" spans="1:25" x14ac:dyDescent="0.2">
      <c r="A85">
        <v>4905</v>
      </c>
      <c r="B85" t="s">
        <v>15</v>
      </c>
      <c r="C85" t="s">
        <v>3</v>
      </c>
      <c r="D85" t="s">
        <v>21</v>
      </c>
      <c r="E85" t="s">
        <v>16</v>
      </c>
      <c r="F85" t="s">
        <v>18</v>
      </c>
      <c r="G85">
        <v>15.37</v>
      </c>
      <c r="H85">
        <v>16.399999999999999</v>
      </c>
      <c r="I85" s="8">
        <v>45727</v>
      </c>
      <c r="J85" t="s">
        <v>87</v>
      </c>
      <c r="K85">
        <v>14.18</v>
      </c>
      <c r="L85">
        <v>223</v>
      </c>
      <c r="M85">
        <v>0.4</v>
      </c>
      <c r="N85">
        <v>58</v>
      </c>
      <c r="O85" s="4">
        <v>0.50778749999999995</v>
      </c>
      <c r="P85">
        <v>1.871905344</v>
      </c>
      <c r="Q85" s="8">
        <v>45734</v>
      </c>
      <c r="R85">
        <v>14.73</v>
      </c>
      <c r="S85" s="3">
        <v>45738</v>
      </c>
      <c r="T85">
        <v>439</v>
      </c>
      <c r="U85">
        <v>0.3</v>
      </c>
      <c r="V85">
        <v>61</v>
      </c>
      <c r="W85">
        <v>4.3966000000000003</v>
      </c>
      <c r="X85">
        <v>1.11814003</v>
      </c>
      <c r="Y85">
        <v>44.472439999999999</v>
      </c>
    </row>
    <row r="86" spans="1:25" x14ac:dyDescent="0.2">
      <c r="A86">
        <v>4906</v>
      </c>
      <c r="B86" t="s">
        <v>15</v>
      </c>
      <c r="C86" t="s">
        <v>3</v>
      </c>
      <c r="D86" t="s">
        <v>23</v>
      </c>
      <c r="E86" t="s">
        <v>16</v>
      </c>
      <c r="F86" t="s">
        <v>14</v>
      </c>
      <c r="G86">
        <v>13.35</v>
      </c>
      <c r="H86">
        <v>16.2</v>
      </c>
      <c r="I86" s="3">
        <v>45729</v>
      </c>
      <c r="J86" t="s">
        <v>130</v>
      </c>
      <c r="K86">
        <v>14.35</v>
      </c>
      <c r="L86">
        <v>213</v>
      </c>
      <c r="M86">
        <v>0.64999999999999991</v>
      </c>
      <c r="N86">
        <v>48</v>
      </c>
      <c r="O86" s="4">
        <v>0.63822500000000004</v>
      </c>
      <c r="P86">
        <v>0.80488219699999997</v>
      </c>
      <c r="Q86" s="3">
        <v>45752</v>
      </c>
      <c r="R86">
        <v>14.14</v>
      </c>
      <c r="S86" s="3">
        <v>45755</v>
      </c>
      <c r="T86" t="s">
        <v>140</v>
      </c>
      <c r="U86" t="s">
        <v>140</v>
      </c>
      <c r="V86" t="s">
        <v>140</v>
      </c>
      <c r="Y86">
        <v>47.48272</v>
      </c>
    </row>
    <row r="87" spans="1:25" x14ac:dyDescent="0.2">
      <c r="A87">
        <v>4908</v>
      </c>
      <c r="B87" t="s">
        <v>15</v>
      </c>
      <c r="C87" t="s">
        <v>3</v>
      </c>
      <c r="D87" t="s">
        <v>20</v>
      </c>
      <c r="E87" t="s">
        <v>13</v>
      </c>
      <c r="F87" t="s">
        <v>14</v>
      </c>
      <c r="G87">
        <v>11.96</v>
      </c>
      <c r="H87">
        <v>16.100000000000001</v>
      </c>
      <c r="I87" s="3">
        <v>45731</v>
      </c>
      <c r="J87" t="s">
        <v>106</v>
      </c>
      <c r="K87">
        <v>13.61</v>
      </c>
      <c r="L87">
        <v>206</v>
      </c>
      <c r="M87">
        <v>0.4</v>
      </c>
      <c r="N87">
        <v>60</v>
      </c>
      <c r="O87" s="4">
        <v>0.91059999999999997</v>
      </c>
      <c r="P87">
        <v>1.321682705</v>
      </c>
      <c r="Q87" s="8">
        <v>45741</v>
      </c>
      <c r="R87">
        <v>13.53</v>
      </c>
      <c r="S87" s="3">
        <v>45744</v>
      </c>
      <c r="T87">
        <v>271</v>
      </c>
      <c r="U87">
        <v>0.8</v>
      </c>
      <c r="W87">
        <v>5.3396999999999997</v>
      </c>
      <c r="X87">
        <v>1.392682355</v>
      </c>
      <c r="Y87">
        <v>44.43591</v>
      </c>
    </row>
    <row r="88" spans="1:25" x14ac:dyDescent="0.2">
      <c r="A88">
        <v>4909</v>
      </c>
      <c r="B88" t="s">
        <v>15</v>
      </c>
      <c r="C88" t="s">
        <v>3</v>
      </c>
      <c r="D88" t="s">
        <v>23</v>
      </c>
      <c r="E88" t="s">
        <v>13</v>
      </c>
      <c r="F88" t="s">
        <v>18</v>
      </c>
      <c r="G88">
        <v>12.19</v>
      </c>
      <c r="H88">
        <v>14.8</v>
      </c>
      <c r="I88" s="3">
        <v>45732</v>
      </c>
      <c r="J88" t="s">
        <v>110</v>
      </c>
      <c r="K88">
        <v>13.72</v>
      </c>
      <c r="L88">
        <v>226</v>
      </c>
      <c r="M88">
        <v>0.6</v>
      </c>
      <c r="O88" s="4">
        <v>0.99212500000000003</v>
      </c>
      <c r="P88">
        <v>0.62135695899999999</v>
      </c>
      <c r="Q88" s="8">
        <v>45742</v>
      </c>
      <c r="R88">
        <v>13.68</v>
      </c>
      <c r="S88" s="8">
        <v>45745</v>
      </c>
      <c r="T88">
        <v>205</v>
      </c>
      <c r="U88">
        <v>0.6</v>
      </c>
      <c r="V88">
        <v>60</v>
      </c>
      <c r="W88">
        <v>1.4502124999999999</v>
      </c>
      <c r="X88">
        <v>0.94795797500000001</v>
      </c>
    </row>
    <row r="89" spans="1:25" x14ac:dyDescent="0.2">
      <c r="A89">
        <v>4910</v>
      </c>
      <c r="B89" t="s">
        <v>15</v>
      </c>
      <c r="C89" t="s">
        <v>3</v>
      </c>
      <c r="D89" t="s">
        <v>20</v>
      </c>
      <c r="E89" t="s">
        <v>16</v>
      </c>
      <c r="F89" t="s">
        <v>14</v>
      </c>
      <c r="G89">
        <v>13.7</v>
      </c>
      <c r="H89">
        <v>15</v>
      </c>
      <c r="I89" s="3">
        <v>45734</v>
      </c>
      <c r="J89" t="s">
        <v>118</v>
      </c>
      <c r="K89">
        <v>14.2</v>
      </c>
      <c r="L89">
        <v>185</v>
      </c>
      <c r="M89">
        <v>0.64999999999999991</v>
      </c>
      <c r="N89">
        <v>62.5</v>
      </c>
      <c r="O89" s="4">
        <v>1.9942375000000001</v>
      </c>
      <c r="P89">
        <v>1.19391395</v>
      </c>
      <c r="Q89" s="8">
        <v>45744</v>
      </c>
      <c r="R89">
        <v>12.73</v>
      </c>
      <c r="S89" s="3">
        <v>45747</v>
      </c>
      <c r="T89">
        <v>188</v>
      </c>
      <c r="U89">
        <v>0.7</v>
      </c>
      <c r="V89">
        <v>62</v>
      </c>
      <c r="W89">
        <v>4.4890374999999993</v>
      </c>
      <c r="X89">
        <v>0.90160860799999998</v>
      </c>
      <c r="Y89">
        <v>44.148829999999997</v>
      </c>
    </row>
    <row r="90" spans="1:25" x14ac:dyDescent="0.2">
      <c r="A90">
        <v>4911</v>
      </c>
      <c r="B90" t="s">
        <v>15</v>
      </c>
      <c r="C90" t="s">
        <v>2</v>
      </c>
      <c r="D90" t="s">
        <v>17</v>
      </c>
      <c r="E90" t="s">
        <v>16</v>
      </c>
      <c r="F90" t="s">
        <v>14</v>
      </c>
      <c r="G90">
        <v>12.66</v>
      </c>
      <c r="H90">
        <v>15.9</v>
      </c>
      <c r="I90" s="3">
        <v>45736</v>
      </c>
      <c r="J90">
        <v>77258</v>
      </c>
      <c r="K90">
        <v>13.73</v>
      </c>
      <c r="L90">
        <v>185.5</v>
      </c>
      <c r="M90">
        <v>0.4</v>
      </c>
      <c r="N90">
        <v>59</v>
      </c>
      <c r="O90" s="4">
        <v>0.92826249999999999</v>
      </c>
      <c r="P90">
        <v>6.5572907E-2</v>
      </c>
      <c r="Q90" s="8">
        <v>45746</v>
      </c>
      <c r="R90">
        <v>13.94</v>
      </c>
      <c r="S90" s="3">
        <v>45749</v>
      </c>
      <c r="T90">
        <v>159.5</v>
      </c>
      <c r="U90">
        <v>0.45</v>
      </c>
      <c r="V90">
        <v>63</v>
      </c>
      <c r="W90">
        <v>2.3250000000000002</v>
      </c>
      <c r="X90">
        <v>2.1760344229999999</v>
      </c>
      <c r="Y90">
        <v>42.685859999999998</v>
      </c>
    </row>
    <row r="91" spans="1:25" x14ac:dyDescent="0.2">
      <c r="A91">
        <v>4912</v>
      </c>
      <c r="B91" t="s">
        <v>15</v>
      </c>
      <c r="C91" t="s">
        <v>3</v>
      </c>
      <c r="D91" t="s">
        <v>12</v>
      </c>
      <c r="E91" t="s">
        <v>16</v>
      </c>
      <c r="F91" t="s">
        <v>14</v>
      </c>
      <c r="G91">
        <v>13.94</v>
      </c>
      <c r="H91">
        <v>17.2</v>
      </c>
      <c r="I91" s="3">
        <v>45733</v>
      </c>
      <c r="J91" t="s">
        <v>112</v>
      </c>
      <c r="K91">
        <v>17.03</v>
      </c>
      <c r="L91">
        <v>184</v>
      </c>
      <c r="M91">
        <v>0.4</v>
      </c>
      <c r="N91">
        <v>60.5</v>
      </c>
      <c r="O91" s="4">
        <v>3.518675</v>
      </c>
      <c r="P91">
        <v>2.1763622900000001</v>
      </c>
      <c r="Q91" s="8">
        <v>45743</v>
      </c>
      <c r="R91">
        <v>16.489999999999998</v>
      </c>
      <c r="S91" s="3">
        <v>45746</v>
      </c>
      <c r="T91">
        <v>208.5</v>
      </c>
      <c r="U91">
        <v>1.2</v>
      </c>
      <c r="V91">
        <v>58.5</v>
      </c>
      <c r="W91">
        <v>3.2788375000000003</v>
      </c>
      <c r="X91">
        <v>1.548056608</v>
      </c>
      <c r="Y91">
        <v>44.88785</v>
      </c>
    </row>
    <row r="92" spans="1:25" x14ac:dyDescent="0.2">
      <c r="A92">
        <v>4913</v>
      </c>
      <c r="B92" t="s">
        <v>15</v>
      </c>
      <c r="C92" t="s">
        <v>2</v>
      </c>
      <c r="D92" t="s">
        <v>17</v>
      </c>
      <c r="E92" t="s">
        <v>13</v>
      </c>
      <c r="G92">
        <v>13.1</v>
      </c>
      <c r="H92">
        <v>15.9</v>
      </c>
      <c r="I92" s="3">
        <v>45735</v>
      </c>
      <c r="J92" t="s">
        <v>121</v>
      </c>
      <c r="K92">
        <v>14</v>
      </c>
      <c r="L92">
        <v>201</v>
      </c>
      <c r="M92">
        <v>0.35</v>
      </c>
      <c r="N92">
        <v>56</v>
      </c>
      <c r="O92" s="4">
        <v>0.3551125</v>
      </c>
      <c r="P92">
        <v>0.53268448300000004</v>
      </c>
      <c r="Q92" s="8">
        <v>45745</v>
      </c>
      <c r="R92">
        <v>14.09</v>
      </c>
      <c r="S92" s="3">
        <v>45748</v>
      </c>
      <c r="T92">
        <v>173.5</v>
      </c>
      <c r="U92">
        <v>0.25</v>
      </c>
      <c r="V92">
        <v>56</v>
      </c>
      <c r="W92">
        <v>2.4497874999999998</v>
      </c>
      <c r="X92">
        <v>0.23471883599999999</v>
      </c>
      <c r="Y92">
        <v>43.003210000000003</v>
      </c>
    </row>
    <row r="93" spans="1:25" x14ac:dyDescent="0.2">
      <c r="A93">
        <v>4915</v>
      </c>
      <c r="B93" t="s">
        <v>15</v>
      </c>
      <c r="C93" t="s">
        <v>2</v>
      </c>
      <c r="D93" t="s">
        <v>12</v>
      </c>
      <c r="E93" t="s">
        <v>13</v>
      </c>
      <c r="F93" t="s">
        <v>18</v>
      </c>
      <c r="G93">
        <v>15.42</v>
      </c>
      <c r="H93">
        <v>17</v>
      </c>
      <c r="I93" s="8">
        <v>44642</v>
      </c>
      <c r="J93" t="s">
        <v>85</v>
      </c>
      <c r="K93">
        <v>16.14</v>
      </c>
      <c r="L93">
        <v>193.5</v>
      </c>
      <c r="M93">
        <v>0.4</v>
      </c>
      <c r="N93">
        <v>56</v>
      </c>
      <c r="O93" s="4">
        <v>0.33337499999999998</v>
      </c>
      <c r="P93">
        <v>0.68422957299999998</v>
      </c>
      <c r="Q93" s="8">
        <v>45749</v>
      </c>
      <c r="R93">
        <v>16.3</v>
      </c>
      <c r="S93" s="8">
        <v>45752</v>
      </c>
      <c r="T93">
        <v>141</v>
      </c>
      <c r="U93">
        <v>0.45</v>
      </c>
      <c r="V93">
        <v>61</v>
      </c>
      <c r="W93">
        <v>1.7967875</v>
      </c>
      <c r="X93">
        <v>0.36886524599999998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8ACC0-992D-0546-90EC-268921BC67A5}">
  <dimension ref="A1:X99"/>
  <sheetViews>
    <sheetView topLeftCell="S1" zoomScale="107" workbookViewId="0">
      <selection activeCell="M1" sqref="M1:M1048576"/>
    </sheetView>
  </sheetViews>
  <sheetFormatPr baseColWidth="10" defaultRowHeight="16" x14ac:dyDescent="0.2"/>
  <sheetData>
    <row r="1" spans="1:24" x14ac:dyDescent="0.2">
      <c r="A1" t="s">
        <v>52</v>
      </c>
      <c r="B1" t="s">
        <v>55</v>
      </c>
      <c r="C1" t="s">
        <v>139</v>
      </c>
      <c r="D1" t="s">
        <v>138</v>
      </c>
      <c r="E1" t="s">
        <v>137</v>
      </c>
      <c r="F1" t="s">
        <v>43</v>
      </c>
      <c r="G1" t="s">
        <v>136</v>
      </c>
      <c r="H1" t="s">
        <v>135</v>
      </c>
      <c r="I1" t="s">
        <v>134</v>
      </c>
      <c r="J1" t="s">
        <v>133</v>
      </c>
      <c r="K1" t="s">
        <v>132</v>
      </c>
      <c r="L1" t="s">
        <v>131</v>
      </c>
      <c r="M1" t="s">
        <v>60</v>
      </c>
      <c r="N1" t="s">
        <v>61</v>
      </c>
      <c r="O1" t="s">
        <v>62</v>
      </c>
      <c r="P1" t="s">
        <v>63</v>
      </c>
      <c r="Q1" t="s">
        <v>42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59</v>
      </c>
    </row>
    <row r="2" spans="1:24" x14ac:dyDescent="0.2">
      <c r="A2">
        <v>4818</v>
      </c>
      <c r="B2" s="3">
        <v>45733</v>
      </c>
      <c r="C2">
        <v>209</v>
      </c>
      <c r="D2">
        <v>174</v>
      </c>
      <c r="F2">
        <f>AVERAGE(C2:E2)</f>
        <v>191.5</v>
      </c>
      <c r="G2">
        <v>0.4</v>
      </c>
      <c r="H2">
        <v>0.4</v>
      </c>
      <c r="J2">
        <f>AVERAGE(G2:I2)</f>
        <v>0.4</v>
      </c>
      <c r="K2">
        <v>56</v>
      </c>
      <c r="L2">
        <v>56</v>
      </c>
      <c r="M2">
        <f>AVERAGE(K2:L2)</f>
        <v>56</v>
      </c>
      <c r="N2">
        <v>237</v>
      </c>
      <c r="Q2">
        <f>AVERAGE(N2:P2)</f>
        <v>237</v>
      </c>
      <c r="R2">
        <v>0.4</v>
      </c>
      <c r="U2">
        <f>AVERAGE(R2:T2)</f>
        <v>0.4</v>
      </c>
      <c r="V2">
        <v>57</v>
      </c>
      <c r="X2">
        <f>AVERAGE(V2:W2)</f>
        <v>57</v>
      </c>
    </row>
    <row r="3" spans="1:24" x14ac:dyDescent="0.2">
      <c r="A3">
        <v>4819</v>
      </c>
      <c r="B3" s="3">
        <v>45735</v>
      </c>
      <c r="C3">
        <v>203</v>
      </c>
      <c r="D3">
        <v>178</v>
      </c>
      <c r="F3">
        <f t="shared" ref="F3:F66" si="0">AVERAGE(C3:E3)</f>
        <v>190.5</v>
      </c>
      <c r="G3">
        <v>0.5</v>
      </c>
      <c r="H3">
        <v>0.6</v>
      </c>
      <c r="J3">
        <f t="shared" ref="J3:J66" si="1">AVERAGE(G3:I3)</f>
        <v>0.55000000000000004</v>
      </c>
      <c r="K3">
        <v>60</v>
      </c>
      <c r="L3">
        <v>61</v>
      </c>
      <c r="M3">
        <f t="shared" ref="M3:M66" si="2">AVERAGE(K3:L3)</f>
        <v>60.5</v>
      </c>
      <c r="N3">
        <v>203</v>
      </c>
      <c r="O3">
        <v>194</v>
      </c>
      <c r="Q3">
        <f t="shared" ref="Q3:Q65" si="3">AVERAGE(N3:P3)</f>
        <v>198.5</v>
      </c>
      <c r="R3">
        <v>0.4</v>
      </c>
      <c r="S3">
        <v>0.5</v>
      </c>
      <c r="U3">
        <f t="shared" ref="U3:U65" si="4">AVERAGE(R3:T3)</f>
        <v>0.45</v>
      </c>
      <c r="V3">
        <v>59</v>
      </c>
      <c r="W3">
        <v>56</v>
      </c>
      <c r="X3">
        <f t="shared" ref="X3:X65" si="5">AVERAGE(V3:W3)</f>
        <v>57.5</v>
      </c>
    </row>
    <row r="4" spans="1:24" x14ac:dyDescent="0.2">
      <c r="A4">
        <v>4820</v>
      </c>
      <c r="B4" s="3">
        <v>45738</v>
      </c>
      <c r="C4">
        <v>249</v>
      </c>
      <c r="D4">
        <v>290</v>
      </c>
      <c r="F4">
        <f t="shared" si="0"/>
        <v>269.5</v>
      </c>
      <c r="G4">
        <v>0.6</v>
      </c>
      <c r="J4">
        <f t="shared" si="1"/>
        <v>0.6</v>
      </c>
      <c r="N4">
        <v>194</v>
      </c>
      <c r="O4">
        <v>189</v>
      </c>
      <c r="Q4">
        <f t="shared" si="3"/>
        <v>191.5</v>
      </c>
      <c r="R4">
        <v>0.6</v>
      </c>
      <c r="S4">
        <v>0.4</v>
      </c>
      <c r="U4">
        <f t="shared" si="4"/>
        <v>0.5</v>
      </c>
    </row>
    <row r="5" spans="1:24" x14ac:dyDescent="0.2">
      <c r="A5">
        <v>4821</v>
      </c>
      <c r="B5" s="3"/>
      <c r="F5" t="e">
        <f t="shared" si="0"/>
        <v>#DIV/0!</v>
      </c>
      <c r="J5" t="e">
        <f t="shared" si="1"/>
        <v>#DIV/0!</v>
      </c>
      <c r="M5" t="e">
        <f t="shared" si="2"/>
        <v>#DIV/0!</v>
      </c>
      <c r="N5">
        <v>210</v>
      </c>
      <c r="O5">
        <v>182</v>
      </c>
      <c r="Q5">
        <f t="shared" si="3"/>
        <v>196</v>
      </c>
      <c r="R5">
        <v>0.4</v>
      </c>
      <c r="S5">
        <v>0.4</v>
      </c>
      <c r="U5">
        <f t="shared" si="4"/>
        <v>0.4</v>
      </c>
      <c r="V5">
        <v>57</v>
      </c>
      <c r="W5">
        <v>57</v>
      </c>
      <c r="X5">
        <f t="shared" si="5"/>
        <v>57</v>
      </c>
    </row>
    <row r="6" spans="1:24" x14ac:dyDescent="0.2">
      <c r="A6">
        <v>4822</v>
      </c>
      <c r="B6" s="3">
        <v>45736</v>
      </c>
      <c r="C6">
        <v>212</v>
      </c>
      <c r="D6">
        <v>228</v>
      </c>
      <c r="F6">
        <f t="shared" si="0"/>
        <v>220</v>
      </c>
      <c r="G6">
        <v>0.6</v>
      </c>
      <c r="H6">
        <v>0.5</v>
      </c>
      <c r="J6">
        <f t="shared" si="1"/>
        <v>0.55000000000000004</v>
      </c>
      <c r="K6">
        <v>62</v>
      </c>
      <c r="L6">
        <v>60</v>
      </c>
      <c r="M6">
        <f t="shared" si="2"/>
        <v>61</v>
      </c>
      <c r="N6">
        <v>196</v>
      </c>
      <c r="O6">
        <v>212</v>
      </c>
      <c r="Q6">
        <f t="shared" si="3"/>
        <v>204</v>
      </c>
      <c r="R6">
        <v>0.4</v>
      </c>
      <c r="S6">
        <v>0.4</v>
      </c>
      <c r="U6">
        <f t="shared" si="4"/>
        <v>0.4</v>
      </c>
      <c r="V6">
        <v>58</v>
      </c>
      <c r="W6">
        <v>58</v>
      </c>
      <c r="X6">
        <f t="shared" si="5"/>
        <v>58</v>
      </c>
    </row>
    <row r="7" spans="1:24" x14ac:dyDescent="0.2">
      <c r="A7">
        <v>4823</v>
      </c>
      <c r="B7" s="8">
        <v>45748</v>
      </c>
      <c r="C7">
        <v>330</v>
      </c>
      <c r="D7">
        <v>327</v>
      </c>
      <c r="F7">
        <f t="shared" si="0"/>
        <v>328.5</v>
      </c>
      <c r="G7">
        <v>0.3</v>
      </c>
      <c r="H7">
        <v>0.4</v>
      </c>
      <c r="J7">
        <f t="shared" si="1"/>
        <v>0.35</v>
      </c>
      <c r="K7">
        <v>52</v>
      </c>
      <c r="L7">
        <v>48</v>
      </c>
      <c r="M7">
        <f t="shared" si="2"/>
        <v>50</v>
      </c>
      <c r="N7">
        <v>242</v>
      </c>
      <c r="O7">
        <v>236</v>
      </c>
      <c r="Q7">
        <f t="shared" si="3"/>
        <v>239</v>
      </c>
      <c r="R7">
        <v>0.3</v>
      </c>
      <c r="S7">
        <v>0.4</v>
      </c>
      <c r="U7">
        <f t="shared" si="4"/>
        <v>0.35</v>
      </c>
      <c r="V7">
        <v>54</v>
      </c>
      <c r="W7">
        <v>54</v>
      </c>
      <c r="X7">
        <f t="shared" si="5"/>
        <v>54</v>
      </c>
    </row>
    <row r="8" spans="1:24" x14ac:dyDescent="0.2">
      <c r="A8">
        <v>4824</v>
      </c>
      <c r="B8" s="8">
        <v>45752</v>
      </c>
      <c r="C8">
        <v>218</v>
      </c>
      <c r="D8">
        <v>222</v>
      </c>
      <c r="F8">
        <f t="shared" si="0"/>
        <v>220</v>
      </c>
      <c r="G8">
        <v>0.7</v>
      </c>
      <c r="H8">
        <v>0.6</v>
      </c>
      <c r="J8">
        <f t="shared" si="1"/>
        <v>0.64999999999999991</v>
      </c>
      <c r="K8">
        <v>61</v>
      </c>
      <c r="L8">
        <v>60</v>
      </c>
      <c r="M8">
        <f t="shared" si="2"/>
        <v>60.5</v>
      </c>
      <c r="N8">
        <v>221</v>
      </c>
      <c r="O8">
        <v>232</v>
      </c>
      <c r="Q8">
        <f t="shared" si="3"/>
        <v>226.5</v>
      </c>
      <c r="R8">
        <v>0.4</v>
      </c>
      <c r="S8">
        <v>0.4</v>
      </c>
      <c r="U8">
        <f t="shared" si="4"/>
        <v>0.4</v>
      </c>
      <c r="V8">
        <v>50</v>
      </c>
      <c r="X8">
        <f t="shared" si="5"/>
        <v>50</v>
      </c>
    </row>
    <row r="9" spans="1:24" x14ac:dyDescent="0.2">
      <c r="A9">
        <v>4825</v>
      </c>
      <c r="B9" s="8">
        <v>45739</v>
      </c>
      <c r="C9">
        <v>186</v>
      </c>
      <c r="D9">
        <v>158</v>
      </c>
      <c r="F9">
        <f t="shared" si="0"/>
        <v>172</v>
      </c>
      <c r="G9">
        <v>0.6</v>
      </c>
      <c r="H9">
        <v>0.6</v>
      </c>
      <c r="J9">
        <f t="shared" si="1"/>
        <v>0.6</v>
      </c>
      <c r="K9">
        <v>59</v>
      </c>
      <c r="M9">
        <f t="shared" si="2"/>
        <v>59</v>
      </c>
      <c r="N9">
        <v>167</v>
      </c>
      <c r="O9">
        <v>170</v>
      </c>
      <c r="Q9">
        <f t="shared" si="3"/>
        <v>168.5</v>
      </c>
      <c r="R9">
        <v>0.4</v>
      </c>
      <c r="S9">
        <v>0.3</v>
      </c>
      <c r="U9">
        <f t="shared" si="4"/>
        <v>0.35</v>
      </c>
      <c r="V9">
        <v>62</v>
      </c>
      <c r="W9">
        <v>60</v>
      </c>
      <c r="X9">
        <f t="shared" si="5"/>
        <v>61</v>
      </c>
    </row>
    <row r="10" spans="1:24" x14ac:dyDescent="0.2">
      <c r="A10">
        <v>4826</v>
      </c>
      <c r="B10" s="3">
        <v>45742</v>
      </c>
      <c r="C10">
        <v>242</v>
      </c>
      <c r="D10">
        <v>222</v>
      </c>
      <c r="F10">
        <f t="shared" si="0"/>
        <v>232</v>
      </c>
      <c r="G10">
        <v>0.6</v>
      </c>
      <c r="H10">
        <v>0.6</v>
      </c>
      <c r="J10">
        <f t="shared" si="1"/>
        <v>0.6</v>
      </c>
      <c r="K10">
        <v>58</v>
      </c>
      <c r="L10">
        <v>59</v>
      </c>
      <c r="M10">
        <f t="shared" si="2"/>
        <v>58.5</v>
      </c>
      <c r="O10">
        <v>189</v>
      </c>
      <c r="P10">
        <v>195</v>
      </c>
      <c r="Q10">
        <f t="shared" si="3"/>
        <v>192</v>
      </c>
      <c r="R10">
        <v>0.4</v>
      </c>
      <c r="S10">
        <v>0.4</v>
      </c>
      <c r="U10">
        <f t="shared" si="4"/>
        <v>0.4</v>
      </c>
      <c r="V10">
        <v>64</v>
      </c>
      <c r="X10">
        <f t="shared" si="5"/>
        <v>64</v>
      </c>
    </row>
    <row r="11" spans="1:24" x14ac:dyDescent="0.2">
      <c r="A11">
        <v>4827</v>
      </c>
      <c r="B11" s="3">
        <v>45743</v>
      </c>
      <c r="F11" t="s">
        <v>140</v>
      </c>
      <c r="J11" t="s">
        <v>140</v>
      </c>
      <c r="M11" t="s">
        <v>140</v>
      </c>
      <c r="N11">
        <v>266</v>
      </c>
      <c r="P11">
        <v>265</v>
      </c>
      <c r="Q11">
        <f t="shared" si="3"/>
        <v>265.5</v>
      </c>
      <c r="R11">
        <v>0.6</v>
      </c>
      <c r="S11">
        <v>0.5</v>
      </c>
      <c r="U11">
        <f t="shared" si="4"/>
        <v>0.55000000000000004</v>
      </c>
      <c r="V11">
        <v>54</v>
      </c>
      <c r="X11">
        <f t="shared" si="5"/>
        <v>54</v>
      </c>
    </row>
    <row r="12" spans="1:24" x14ac:dyDescent="0.2">
      <c r="A12">
        <v>4828</v>
      </c>
      <c r="B12" s="3"/>
      <c r="F12" t="e">
        <f t="shared" si="0"/>
        <v>#DIV/0!</v>
      </c>
      <c r="J12" t="e">
        <f t="shared" si="1"/>
        <v>#DIV/0!</v>
      </c>
      <c r="M12" t="e">
        <f t="shared" si="2"/>
        <v>#DIV/0!</v>
      </c>
      <c r="N12">
        <v>196</v>
      </c>
      <c r="O12">
        <v>188</v>
      </c>
      <c r="Q12">
        <f>AVERAGE(O12:P12)</f>
        <v>188</v>
      </c>
      <c r="R12">
        <v>0.4</v>
      </c>
      <c r="S12">
        <v>0.4</v>
      </c>
      <c r="U12">
        <f t="shared" si="4"/>
        <v>0.4</v>
      </c>
      <c r="V12">
        <v>62</v>
      </c>
      <c r="W12">
        <v>62</v>
      </c>
      <c r="X12">
        <f t="shared" si="5"/>
        <v>62</v>
      </c>
    </row>
    <row r="13" spans="1:24" x14ac:dyDescent="0.2">
      <c r="A13">
        <v>4829</v>
      </c>
      <c r="B13" s="8">
        <v>45741</v>
      </c>
      <c r="C13">
        <v>185</v>
      </c>
      <c r="D13">
        <v>188</v>
      </c>
      <c r="F13">
        <f t="shared" si="0"/>
        <v>186.5</v>
      </c>
      <c r="G13">
        <v>0.3</v>
      </c>
      <c r="H13">
        <v>0.3</v>
      </c>
      <c r="J13">
        <f t="shared" si="1"/>
        <v>0.3</v>
      </c>
      <c r="K13">
        <v>57</v>
      </c>
      <c r="L13">
        <v>58</v>
      </c>
      <c r="M13">
        <f t="shared" si="2"/>
        <v>57.5</v>
      </c>
      <c r="N13">
        <v>186</v>
      </c>
      <c r="O13">
        <v>189</v>
      </c>
      <c r="Q13">
        <f t="shared" si="3"/>
        <v>187.5</v>
      </c>
      <c r="R13">
        <v>0.4</v>
      </c>
      <c r="S13">
        <v>0.4</v>
      </c>
      <c r="U13">
        <f t="shared" si="4"/>
        <v>0.4</v>
      </c>
    </row>
    <row r="14" spans="1:24" x14ac:dyDescent="0.2">
      <c r="A14">
        <v>4830</v>
      </c>
      <c r="B14" s="3">
        <v>45734</v>
      </c>
      <c r="C14">
        <v>299</v>
      </c>
      <c r="D14">
        <v>292</v>
      </c>
      <c r="F14">
        <f t="shared" si="0"/>
        <v>295.5</v>
      </c>
      <c r="G14">
        <v>0.8</v>
      </c>
      <c r="H14">
        <v>0.8</v>
      </c>
      <c r="J14">
        <f t="shared" si="1"/>
        <v>0.8</v>
      </c>
      <c r="K14">
        <v>50</v>
      </c>
      <c r="L14">
        <v>50</v>
      </c>
      <c r="M14">
        <f t="shared" si="2"/>
        <v>50</v>
      </c>
      <c r="N14">
        <v>245</v>
      </c>
      <c r="O14">
        <v>238</v>
      </c>
      <c r="Q14">
        <f t="shared" si="3"/>
        <v>241.5</v>
      </c>
      <c r="R14">
        <v>0.3</v>
      </c>
      <c r="S14">
        <v>0.3</v>
      </c>
      <c r="U14">
        <f t="shared" si="4"/>
        <v>0.3</v>
      </c>
    </row>
    <row r="15" spans="1:24" x14ac:dyDescent="0.2">
      <c r="A15">
        <v>4831</v>
      </c>
      <c r="B15" s="3">
        <v>45744</v>
      </c>
      <c r="C15">
        <v>183</v>
      </c>
      <c r="D15">
        <v>174</v>
      </c>
      <c r="F15">
        <f t="shared" si="0"/>
        <v>178.5</v>
      </c>
      <c r="G15">
        <v>0.5</v>
      </c>
      <c r="H15">
        <v>0.6</v>
      </c>
      <c r="J15">
        <f t="shared" si="1"/>
        <v>0.55000000000000004</v>
      </c>
      <c r="K15">
        <v>62</v>
      </c>
      <c r="L15">
        <v>61</v>
      </c>
      <c r="M15">
        <f t="shared" si="2"/>
        <v>61.5</v>
      </c>
      <c r="N15">
        <v>205</v>
      </c>
      <c r="O15">
        <v>176</v>
      </c>
      <c r="Q15">
        <f t="shared" si="3"/>
        <v>190.5</v>
      </c>
      <c r="R15">
        <v>0.6</v>
      </c>
      <c r="S15">
        <v>0.6</v>
      </c>
      <c r="U15">
        <f t="shared" si="4"/>
        <v>0.6</v>
      </c>
      <c r="V15">
        <v>61</v>
      </c>
      <c r="W15">
        <v>6</v>
      </c>
      <c r="X15">
        <f t="shared" si="5"/>
        <v>33.5</v>
      </c>
    </row>
    <row r="16" spans="1:24" x14ac:dyDescent="0.2">
      <c r="A16">
        <v>4832</v>
      </c>
      <c r="B16" s="3">
        <v>45746</v>
      </c>
      <c r="K16">
        <v>56</v>
      </c>
      <c r="M16">
        <f t="shared" si="2"/>
        <v>56</v>
      </c>
      <c r="N16">
        <v>280</v>
      </c>
      <c r="O16">
        <v>270</v>
      </c>
      <c r="Q16">
        <f t="shared" si="3"/>
        <v>275</v>
      </c>
      <c r="R16">
        <v>0.5</v>
      </c>
      <c r="U16">
        <f t="shared" si="4"/>
        <v>0.5</v>
      </c>
      <c r="V16">
        <v>50</v>
      </c>
      <c r="X16">
        <f t="shared" si="5"/>
        <v>50</v>
      </c>
    </row>
    <row r="17" spans="1:24" x14ac:dyDescent="0.2">
      <c r="A17">
        <v>4833</v>
      </c>
      <c r="B17" s="3">
        <v>45745</v>
      </c>
      <c r="C17">
        <v>162</v>
      </c>
      <c r="D17">
        <v>162</v>
      </c>
      <c r="F17">
        <f t="shared" si="0"/>
        <v>162</v>
      </c>
      <c r="G17">
        <v>0.3</v>
      </c>
      <c r="H17">
        <v>0.3</v>
      </c>
      <c r="J17">
        <f t="shared" si="1"/>
        <v>0.3</v>
      </c>
      <c r="K17">
        <v>62</v>
      </c>
      <c r="L17">
        <v>62</v>
      </c>
      <c r="M17">
        <f t="shared" si="2"/>
        <v>62</v>
      </c>
      <c r="O17">
        <v>146</v>
      </c>
      <c r="P17">
        <v>154</v>
      </c>
      <c r="Q17">
        <f t="shared" si="3"/>
        <v>150</v>
      </c>
      <c r="S17">
        <v>0.7</v>
      </c>
      <c r="T17">
        <v>0.6</v>
      </c>
      <c r="U17">
        <f t="shared" si="4"/>
        <v>0.64999999999999991</v>
      </c>
      <c r="V17">
        <v>60</v>
      </c>
      <c r="X17">
        <f t="shared" si="5"/>
        <v>60</v>
      </c>
    </row>
    <row r="18" spans="1:24" x14ac:dyDescent="0.2">
      <c r="A18">
        <v>4834</v>
      </c>
      <c r="B18" s="3"/>
      <c r="F18" t="e">
        <f t="shared" si="0"/>
        <v>#DIV/0!</v>
      </c>
      <c r="J18" t="e">
        <f t="shared" si="1"/>
        <v>#DIV/0!</v>
      </c>
      <c r="M18" t="e">
        <f t="shared" si="2"/>
        <v>#DIV/0!</v>
      </c>
      <c r="N18">
        <v>166</v>
      </c>
      <c r="O18">
        <v>164</v>
      </c>
      <c r="Q18">
        <f t="shared" si="3"/>
        <v>165</v>
      </c>
      <c r="R18">
        <v>0.4</v>
      </c>
      <c r="S18">
        <v>0.4</v>
      </c>
      <c r="U18">
        <f t="shared" si="4"/>
        <v>0.4</v>
      </c>
      <c r="V18">
        <v>63</v>
      </c>
      <c r="W18">
        <v>62</v>
      </c>
      <c r="X18">
        <f t="shared" si="5"/>
        <v>62.5</v>
      </c>
    </row>
    <row r="19" spans="1:24" x14ac:dyDescent="0.2">
      <c r="A19">
        <v>4835</v>
      </c>
      <c r="B19" s="3">
        <v>45754</v>
      </c>
      <c r="C19">
        <v>245</v>
      </c>
      <c r="D19">
        <v>266</v>
      </c>
      <c r="F19">
        <f t="shared" si="0"/>
        <v>255.5</v>
      </c>
      <c r="G19">
        <v>0.9</v>
      </c>
      <c r="H19">
        <v>1</v>
      </c>
      <c r="J19">
        <f t="shared" si="1"/>
        <v>0.95</v>
      </c>
      <c r="K19">
        <v>54</v>
      </c>
      <c r="L19">
        <v>55</v>
      </c>
      <c r="M19">
        <f t="shared" si="2"/>
        <v>54.5</v>
      </c>
      <c r="N19">
        <v>220</v>
      </c>
      <c r="O19">
        <v>224</v>
      </c>
      <c r="Q19">
        <f t="shared" si="3"/>
        <v>222</v>
      </c>
      <c r="R19">
        <v>0.6</v>
      </c>
      <c r="S19">
        <v>0.5</v>
      </c>
      <c r="U19">
        <f t="shared" si="4"/>
        <v>0.55000000000000004</v>
      </c>
      <c r="V19">
        <v>58</v>
      </c>
      <c r="W19">
        <v>57</v>
      </c>
      <c r="X19">
        <f t="shared" si="5"/>
        <v>57.5</v>
      </c>
    </row>
    <row r="20" spans="1:24" x14ac:dyDescent="0.2">
      <c r="A20">
        <v>4836</v>
      </c>
      <c r="F20" t="e">
        <f t="shared" si="0"/>
        <v>#DIV/0!</v>
      </c>
      <c r="J20" t="e">
        <f t="shared" si="1"/>
        <v>#DIV/0!</v>
      </c>
      <c r="M20" t="e">
        <f t="shared" si="2"/>
        <v>#DIV/0!</v>
      </c>
      <c r="Q20" t="e">
        <f t="shared" si="3"/>
        <v>#DIV/0!</v>
      </c>
      <c r="U20" t="e">
        <f t="shared" si="4"/>
        <v>#DIV/0!</v>
      </c>
      <c r="X20" t="e">
        <f t="shared" si="5"/>
        <v>#DIV/0!</v>
      </c>
    </row>
    <row r="21" spans="1:24" x14ac:dyDescent="0.2">
      <c r="A21">
        <v>4837</v>
      </c>
      <c r="B21" s="3"/>
      <c r="F21" t="e">
        <f t="shared" si="0"/>
        <v>#DIV/0!</v>
      </c>
      <c r="J21" t="e">
        <f t="shared" si="1"/>
        <v>#DIV/0!</v>
      </c>
      <c r="M21" t="e">
        <f t="shared" si="2"/>
        <v>#DIV/0!</v>
      </c>
      <c r="N21">
        <v>192</v>
      </c>
      <c r="O21">
        <v>189</v>
      </c>
      <c r="Q21">
        <f t="shared" si="3"/>
        <v>190.5</v>
      </c>
      <c r="R21">
        <v>0.4</v>
      </c>
      <c r="S21">
        <v>0.2</v>
      </c>
      <c r="U21">
        <f t="shared" si="4"/>
        <v>0.30000000000000004</v>
      </c>
      <c r="V21">
        <v>58</v>
      </c>
      <c r="X21">
        <f t="shared" si="5"/>
        <v>58</v>
      </c>
    </row>
    <row r="22" spans="1:24" x14ac:dyDescent="0.2">
      <c r="A22">
        <v>4838</v>
      </c>
      <c r="B22" s="3">
        <v>45747</v>
      </c>
      <c r="C22">
        <v>174</v>
      </c>
      <c r="D22">
        <v>175</v>
      </c>
      <c r="F22">
        <f t="shared" si="0"/>
        <v>174.5</v>
      </c>
      <c r="G22">
        <v>0.6</v>
      </c>
      <c r="H22">
        <v>0.4</v>
      </c>
      <c r="J22">
        <f t="shared" si="1"/>
        <v>0.5</v>
      </c>
      <c r="K22">
        <v>60</v>
      </c>
      <c r="M22">
        <f t="shared" si="2"/>
        <v>60</v>
      </c>
      <c r="O22">
        <v>224</v>
      </c>
      <c r="P22">
        <v>236</v>
      </c>
      <c r="Q22">
        <f t="shared" si="3"/>
        <v>230</v>
      </c>
      <c r="R22">
        <v>0.3</v>
      </c>
      <c r="U22">
        <f t="shared" si="4"/>
        <v>0.3</v>
      </c>
      <c r="V22">
        <v>54</v>
      </c>
      <c r="W22">
        <v>51</v>
      </c>
      <c r="X22">
        <f t="shared" si="5"/>
        <v>52.5</v>
      </c>
    </row>
    <row r="23" spans="1:24" x14ac:dyDescent="0.2">
      <c r="A23">
        <v>4839</v>
      </c>
      <c r="B23" s="3"/>
      <c r="F23" t="e">
        <f t="shared" si="0"/>
        <v>#DIV/0!</v>
      </c>
      <c r="J23" t="e">
        <f t="shared" si="1"/>
        <v>#DIV/0!</v>
      </c>
      <c r="M23" t="e">
        <f t="shared" si="2"/>
        <v>#DIV/0!</v>
      </c>
    </row>
    <row r="24" spans="1:24" x14ac:dyDescent="0.2">
      <c r="A24">
        <v>4840</v>
      </c>
      <c r="B24" s="8">
        <v>45750</v>
      </c>
      <c r="C24">
        <v>376</v>
      </c>
      <c r="D24">
        <v>369</v>
      </c>
      <c r="F24">
        <f t="shared" si="0"/>
        <v>372.5</v>
      </c>
      <c r="G24">
        <v>0.6</v>
      </c>
      <c r="H24">
        <v>0.5</v>
      </c>
      <c r="J24">
        <f t="shared" si="1"/>
        <v>0.55000000000000004</v>
      </c>
      <c r="K24">
        <v>52</v>
      </c>
      <c r="M24">
        <f t="shared" si="2"/>
        <v>52</v>
      </c>
      <c r="N24">
        <v>235</v>
      </c>
      <c r="O24">
        <v>205</v>
      </c>
      <c r="Q24">
        <f t="shared" si="3"/>
        <v>220</v>
      </c>
      <c r="R24">
        <v>0.2</v>
      </c>
      <c r="S24">
        <v>0.4</v>
      </c>
      <c r="U24">
        <f t="shared" si="4"/>
        <v>0.30000000000000004</v>
      </c>
      <c r="V24">
        <v>52</v>
      </c>
      <c r="W24">
        <v>52</v>
      </c>
      <c r="X24">
        <f t="shared" si="5"/>
        <v>52</v>
      </c>
    </row>
    <row r="25" spans="1:24" x14ac:dyDescent="0.2">
      <c r="A25">
        <v>4841</v>
      </c>
      <c r="B25" s="3">
        <v>45751</v>
      </c>
      <c r="C25">
        <v>285</v>
      </c>
      <c r="D25">
        <v>243</v>
      </c>
      <c r="F25">
        <f t="shared" si="0"/>
        <v>264</v>
      </c>
      <c r="G25">
        <v>0.4</v>
      </c>
      <c r="H25">
        <v>0.3</v>
      </c>
      <c r="J25">
        <f t="shared" si="1"/>
        <v>0.35</v>
      </c>
      <c r="N25">
        <v>286</v>
      </c>
      <c r="O25">
        <v>264</v>
      </c>
      <c r="Q25">
        <f t="shared" si="3"/>
        <v>275</v>
      </c>
      <c r="S25">
        <v>0.4</v>
      </c>
      <c r="T25">
        <v>0.4</v>
      </c>
      <c r="U25">
        <f t="shared" si="4"/>
        <v>0.4</v>
      </c>
      <c r="V25">
        <v>56</v>
      </c>
      <c r="W25">
        <v>54</v>
      </c>
      <c r="X25">
        <f t="shared" si="5"/>
        <v>55</v>
      </c>
    </row>
    <row r="26" spans="1:24" x14ac:dyDescent="0.2">
      <c r="A26">
        <v>4842</v>
      </c>
      <c r="B26" s="8">
        <v>45749</v>
      </c>
      <c r="F26" t="s">
        <v>140</v>
      </c>
      <c r="J26" t="s">
        <v>140</v>
      </c>
      <c r="M26" t="s">
        <v>140</v>
      </c>
      <c r="N26">
        <v>179</v>
      </c>
      <c r="O26">
        <v>191</v>
      </c>
      <c r="Q26">
        <f t="shared" si="3"/>
        <v>185</v>
      </c>
      <c r="R26">
        <v>0.4</v>
      </c>
      <c r="S26">
        <v>0.3</v>
      </c>
      <c r="U26">
        <f t="shared" si="4"/>
        <v>0.35</v>
      </c>
      <c r="V26">
        <v>58</v>
      </c>
      <c r="W26">
        <v>60</v>
      </c>
      <c r="X26">
        <f t="shared" si="5"/>
        <v>59</v>
      </c>
    </row>
    <row r="27" spans="1:24" x14ac:dyDescent="0.2">
      <c r="A27">
        <v>4843</v>
      </c>
      <c r="B27" s="3">
        <v>45733</v>
      </c>
      <c r="C27">
        <v>180</v>
      </c>
      <c r="D27">
        <v>167</v>
      </c>
      <c r="F27">
        <f t="shared" si="0"/>
        <v>173.5</v>
      </c>
      <c r="G27">
        <v>0.3</v>
      </c>
      <c r="J27">
        <f t="shared" si="1"/>
        <v>0.3</v>
      </c>
      <c r="K27">
        <v>57</v>
      </c>
      <c r="L27">
        <v>56</v>
      </c>
      <c r="M27">
        <f t="shared" si="2"/>
        <v>56.5</v>
      </c>
      <c r="N27">
        <v>285</v>
      </c>
      <c r="O27">
        <v>259</v>
      </c>
      <c r="Q27">
        <f t="shared" si="3"/>
        <v>272</v>
      </c>
      <c r="S27">
        <v>0.5</v>
      </c>
      <c r="T27">
        <v>0.5</v>
      </c>
      <c r="U27">
        <f t="shared" si="4"/>
        <v>0.5</v>
      </c>
      <c r="V27">
        <v>54</v>
      </c>
      <c r="W27">
        <v>56</v>
      </c>
      <c r="X27">
        <f t="shared" si="5"/>
        <v>55</v>
      </c>
    </row>
    <row r="28" spans="1:24" x14ac:dyDescent="0.2">
      <c r="A28">
        <v>4844</v>
      </c>
      <c r="B28" s="8">
        <v>45735</v>
      </c>
      <c r="C28">
        <v>299</v>
      </c>
      <c r="D28">
        <v>289</v>
      </c>
      <c r="F28">
        <f t="shared" si="0"/>
        <v>294</v>
      </c>
      <c r="G28">
        <v>0.4</v>
      </c>
      <c r="H28">
        <v>0.4</v>
      </c>
      <c r="J28">
        <f t="shared" si="1"/>
        <v>0.4</v>
      </c>
      <c r="K28">
        <v>48</v>
      </c>
      <c r="L28">
        <v>48</v>
      </c>
      <c r="M28">
        <f t="shared" si="2"/>
        <v>48</v>
      </c>
      <c r="O28">
        <v>278</v>
      </c>
      <c r="P28">
        <v>278</v>
      </c>
      <c r="Q28">
        <f t="shared" si="3"/>
        <v>278</v>
      </c>
      <c r="R28">
        <v>0.4</v>
      </c>
      <c r="S28">
        <v>0.4</v>
      </c>
      <c r="U28">
        <f t="shared" si="4"/>
        <v>0.4</v>
      </c>
    </row>
    <row r="29" spans="1:24" x14ac:dyDescent="0.2">
      <c r="A29">
        <v>4845</v>
      </c>
      <c r="B29" s="3">
        <v>45753</v>
      </c>
      <c r="C29">
        <v>206</v>
      </c>
      <c r="D29">
        <v>180</v>
      </c>
      <c r="F29">
        <f t="shared" si="0"/>
        <v>193</v>
      </c>
      <c r="G29">
        <v>0.4</v>
      </c>
      <c r="J29">
        <f t="shared" si="1"/>
        <v>0.4</v>
      </c>
      <c r="K29">
        <v>58</v>
      </c>
      <c r="M29">
        <f t="shared" si="2"/>
        <v>58</v>
      </c>
      <c r="O29">
        <v>209</v>
      </c>
      <c r="P29">
        <v>216</v>
      </c>
      <c r="Q29">
        <f t="shared" si="3"/>
        <v>212.5</v>
      </c>
      <c r="R29">
        <v>0.4</v>
      </c>
      <c r="S29">
        <v>0.6</v>
      </c>
      <c r="U29">
        <f t="shared" si="4"/>
        <v>0.5</v>
      </c>
      <c r="V29">
        <v>58</v>
      </c>
      <c r="W29">
        <v>57</v>
      </c>
      <c r="X29">
        <f t="shared" si="5"/>
        <v>57.5</v>
      </c>
    </row>
    <row r="30" spans="1:24" x14ac:dyDescent="0.2">
      <c r="A30">
        <v>4846</v>
      </c>
      <c r="B30" s="3">
        <v>45734</v>
      </c>
      <c r="C30">
        <v>214</v>
      </c>
      <c r="D30">
        <v>185</v>
      </c>
      <c r="E30">
        <v>198</v>
      </c>
      <c r="F30">
        <f t="shared" si="0"/>
        <v>199</v>
      </c>
      <c r="J30" t="e">
        <f t="shared" si="1"/>
        <v>#DIV/0!</v>
      </c>
      <c r="M30" t="e">
        <f t="shared" si="2"/>
        <v>#DIV/0!</v>
      </c>
      <c r="N30">
        <v>227</v>
      </c>
      <c r="P30">
        <v>216</v>
      </c>
      <c r="Q30">
        <f t="shared" si="3"/>
        <v>221.5</v>
      </c>
      <c r="R30">
        <v>0.7</v>
      </c>
      <c r="S30">
        <v>0.5</v>
      </c>
      <c r="U30">
        <f t="shared" si="4"/>
        <v>0.6</v>
      </c>
      <c r="V30">
        <v>61</v>
      </c>
      <c r="X30">
        <f t="shared" si="5"/>
        <v>61</v>
      </c>
    </row>
    <row r="31" spans="1:24" x14ac:dyDescent="0.2">
      <c r="A31">
        <v>4847</v>
      </c>
      <c r="B31" s="3">
        <v>45738</v>
      </c>
      <c r="C31">
        <v>173</v>
      </c>
      <c r="D31">
        <v>205</v>
      </c>
      <c r="F31">
        <f t="shared" si="0"/>
        <v>189</v>
      </c>
      <c r="G31">
        <v>0.4</v>
      </c>
      <c r="H31">
        <v>0.3</v>
      </c>
      <c r="J31">
        <f t="shared" si="1"/>
        <v>0.35</v>
      </c>
      <c r="K31">
        <v>54</v>
      </c>
      <c r="L31">
        <v>54</v>
      </c>
      <c r="M31">
        <f t="shared" si="2"/>
        <v>54</v>
      </c>
      <c r="N31">
        <v>245</v>
      </c>
      <c r="O31">
        <v>235</v>
      </c>
      <c r="Q31">
        <f t="shared" si="3"/>
        <v>240</v>
      </c>
      <c r="R31">
        <v>0.4</v>
      </c>
      <c r="S31">
        <v>0.4</v>
      </c>
      <c r="U31">
        <f t="shared" si="4"/>
        <v>0.4</v>
      </c>
    </row>
    <row r="32" spans="1:24" x14ac:dyDescent="0.2">
      <c r="A32">
        <v>4848</v>
      </c>
      <c r="B32" s="8">
        <v>45752</v>
      </c>
      <c r="F32" t="s">
        <v>140</v>
      </c>
      <c r="J32" t="s">
        <v>140</v>
      </c>
      <c r="M32" t="s">
        <v>140</v>
      </c>
      <c r="N32">
        <v>189</v>
      </c>
      <c r="P32">
        <v>181</v>
      </c>
      <c r="Q32">
        <f t="shared" si="3"/>
        <v>185</v>
      </c>
      <c r="R32">
        <v>0.6</v>
      </c>
      <c r="S32">
        <v>0.6</v>
      </c>
      <c r="U32">
        <f t="shared" si="4"/>
        <v>0.6</v>
      </c>
      <c r="V32">
        <v>64</v>
      </c>
      <c r="W32">
        <v>62</v>
      </c>
      <c r="X32">
        <f t="shared" si="5"/>
        <v>63</v>
      </c>
    </row>
    <row r="33" spans="1:24" x14ac:dyDescent="0.2">
      <c r="A33">
        <v>4849</v>
      </c>
      <c r="B33" s="3">
        <v>45736</v>
      </c>
      <c r="C33">
        <v>271</v>
      </c>
      <c r="D33">
        <v>243</v>
      </c>
      <c r="F33">
        <f t="shared" si="0"/>
        <v>257</v>
      </c>
      <c r="G33">
        <v>0.6</v>
      </c>
      <c r="H33">
        <v>0.6</v>
      </c>
      <c r="J33">
        <f t="shared" si="1"/>
        <v>0.6</v>
      </c>
      <c r="K33">
        <v>64</v>
      </c>
      <c r="M33">
        <f t="shared" si="2"/>
        <v>64</v>
      </c>
      <c r="O33">
        <v>326</v>
      </c>
      <c r="P33">
        <v>303</v>
      </c>
      <c r="Q33">
        <f>AVERAGE(O33:P33)</f>
        <v>314.5</v>
      </c>
      <c r="R33">
        <v>0.4</v>
      </c>
      <c r="S33">
        <v>0.5</v>
      </c>
      <c r="U33">
        <f t="shared" si="4"/>
        <v>0.45</v>
      </c>
      <c r="V33">
        <v>55</v>
      </c>
      <c r="W33">
        <v>54</v>
      </c>
      <c r="X33">
        <f t="shared" si="5"/>
        <v>54.5</v>
      </c>
    </row>
    <row r="34" spans="1:24" x14ac:dyDescent="0.2">
      <c r="A34">
        <v>4850</v>
      </c>
      <c r="B34" s="3"/>
      <c r="F34" t="e">
        <f t="shared" si="0"/>
        <v>#DIV/0!</v>
      </c>
      <c r="J34" t="e">
        <f t="shared" si="1"/>
        <v>#DIV/0!</v>
      </c>
      <c r="M34" t="e">
        <f t="shared" si="2"/>
        <v>#DIV/0!</v>
      </c>
      <c r="N34">
        <v>201</v>
      </c>
      <c r="O34">
        <v>207</v>
      </c>
      <c r="Q34">
        <f t="shared" si="3"/>
        <v>204</v>
      </c>
      <c r="R34">
        <v>0.4</v>
      </c>
      <c r="S34">
        <v>0.4</v>
      </c>
      <c r="U34">
        <f t="shared" si="4"/>
        <v>0.4</v>
      </c>
      <c r="V34">
        <v>56</v>
      </c>
      <c r="W34">
        <v>56</v>
      </c>
      <c r="X34">
        <f t="shared" si="5"/>
        <v>56</v>
      </c>
    </row>
    <row r="35" spans="1:24" x14ac:dyDescent="0.2">
      <c r="A35">
        <v>4851</v>
      </c>
      <c r="B35" s="8">
        <v>45739</v>
      </c>
      <c r="C35">
        <v>192</v>
      </c>
      <c r="D35">
        <v>191</v>
      </c>
      <c r="F35">
        <f t="shared" si="0"/>
        <v>191.5</v>
      </c>
      <c r="G35">
        <v>0.8</v>
      </c>
      <c r="H35">
        <v>0.6</v>
      </c>
      <c r="J35">
        <f t="shared" si="1"/>
        <v>0.7</v>
      </c>
      <c r="K35">
        <v>62</v>
      </c>
      <c r="M35">
        <f t="shared" si="2"/>
        <v>62</v>
      </c>
      <c r="N35">
        <v>246</v>
      </c>
      <c r="P35">
        <v>236</v>
      </c>
      <c r="Q35">
        <f t="shared" si="3"/>
        <v>241</v>
      </c>
      <c r="R35">
        <v>0.4</v>
      </c>
      <c r="S35">
        <v>0.4</v>
      </c>
      <c r="U35">
        <f t="shared" si="4"/>
        <v>0.4</v>
      </c>
      <c r="V35">
        <v>58</v>
      </c>
      <c r="X35">
        <f t="shared" si="5"/>
        <v>58</v>
      </c>
    </row>
    <row r="36" spans="1:24" x14ac:dyDescent="0.2">
      <c r="A36">
        <v>4852</v>
      </c>
      <c r="B36" s="8">
        <v>45750</v>
      </c>
      <c r="C36">
        <v>173</v>
      </c>
      <c r="D36">
        <v>185</v>
      </c>
      <c r="F36">
        <f t="shared" si="0"/>
        <v>179</v>
      </c>
      <c r="G36">
        <v>0.6</v>
      </c>
      <c r="H36">
        <v>0.6</v>
      </c>
      <c r="J36">
        <f t="shared" si="1"/>
        <v>0.6</v>
      </c>
      <c r="K36">
        <v>68</v>
      </c>
      <c r="L36">
        <v>67</v>
      </c>
      <c r="M36">
        <f t="shared" si="2"/>
        <v>67.5</v>
      </c>
      <c r="N36">
        <v>218</v>
      </c>
      <c r="O36">
        <v>195</v>
      </c>
      <c r="Q36">
        <f t="shared" si="3"/>
        <v>206.5</v>
      </c>
      <c r="R36">
        <v>0.4</v>
      </c>
      <c r="S36">
        <v>0.3</v>
      </c>
      <c r="U36">
        <f t="shared" si="4"/>
        <v>0.35</v>
      </c>
      <c r="V36">
        <v>59</v>
      </c>
      <c r="W36">
        <v>58</v>
      </c>
      <c r="X36">
        <f t="shared" si="5"/>
        <v>58.5</v>
      </c>
    </row>
    <row r="37" spans="1:24" x14ac:dyDescent="0.2">
      <c r="A37">
        <v>4853</v>
      </c>
      <c r="B37" s="3">
        <v>45742</v>
      </c>
      <c r="C37">
        <v>161</v>
      </c>
      <c r="D37">
        <v>162</v>
      </c>
      <c r="F37">
        <f t="shared" si="0"/>
        <v>161.5</v>
      </c>
      <c r="G37">
        <v>0.4</v>
      </c>
      <c r="H37">
        <v>0.5</v>
      </c>
      <c r="J37">
        <f t="shared" si="1"/>
        <v>0.45</v>
      </c>
      <c r="K37">
        <v>69</v>
      </c>
      <c r="L37">
        <v>64</v>
      </c>
      <c r="M37">
        <f t="shared" si="2"/>
        <v>66.5</v>
      </c>
      <c r="N37">
        <v>187</v>
      </c>
      <c r="O37">
        <v>198</v>
      </c>
      <c r="Q37">
        <f t="shared" si="3"/>
        <v>192.5</v>
      </c>
      <c r="R37">
        <v>0.6</v>
      </c>
      <c r="S37">
        <v>0.6</v>
      </c>
      <c r="U37">
        <f t="shared" si="4"/>
        <v>0.6</v>
      </c>
      <c r="V37">
        <v>60</v>
      </c>
      <c r="X37">
        <f t="shared" si="5"/>
        <v>60</v>
      </c>
    </row>
    <row r="38" spans="1:24" x14ac:dyDescent="0.2">
      <c r="A38">
        <v>4854</v>
      </c>
      <c r="B38" s="3">
        <v>45754</v>
      </c>
      <c r="C38">
        <v>303</v>
      </c>
      <c r="D38">
        <v>305</v>
      </c>
      <c r="F38">
        <f t="shared" si="0"/>
        <v>304</v>
      </c>
      <c r="G38">
        <v>0.5</v>
      </c>
      <c r="H38">
        <v>0.4</v>
      </c>
      <c r="J38">
        <f t="shared" si="1"/>
        <v>0.45</v>
      </c>
      <c r="K38">
        <v>56</v>
      </c>
      <c r="M38">
        <f t="shared" si="2"/>
        <v>56</v>
      </c>
      <c r="N38">
        <v>196</v>
      </c>
      <c r="O38">
        <v>164</v>
      </c>
      <c r="Q38">
        <f t="shared" si="3"/>
        <v>180</v>
      </c>
      <c r="R38">
        <v>0.4</v>
      </c>
      <c r="S38">
        <v>0.5</v>
      </c>
      <c r="U38">
        <f t="shared" si="4"/>
        <v>0.45</v>
      </c>
      <c r="V38">
        <v>56</v>
      </c>
      <c r="W38">
        <v>56</v>
      </c>
      <c r="X38">
        <f t="shared" si="5"/>
        <v>56</v>
      </c>
    </row>
    <row r="39" spans="1:24" x14ac:dyDescent="0.2">
      <c r="A39">
        <v>4855</v>
      </c>
      <c r="B39" s="3">
        <v>45743</v>
      </c>
      <c r="C39">
        <v>366</v>
      </c>
      <c r="D39">
        <v>377</v>
      </c>
      <c r="F39">
        <f t="shared" si="0"/>
        <v>371.5</v>
      </c>
      <c r="G39">
        <v>0.6</v>
      </c>
      <c r="H39">
        <v>0.5</v>
      </c>
      <c r="J39">
        <f t="shared" si="1"/>
        <v>0.55000000000000004</v>
      </c>
      <c r="K39">
        <v>56</v>
      </c>
      <c r="L39">
        <v>54</v>
      </c>
      <c r="M39">
        <f t="shared" si="2"/>
        <v>55</v>
      </c>
      <c r="N39">
        <v>154</v>
      </c>
      <c r="O39">
        <v>147</v>
      </c>
      <c r="Q39">
        <f t="shared" si="3"/>
        <v>150.5</v>
      </c>
      <c r="R39">
        <v>0.3</v>
      </c>
      <c r="S39">
        <v>0.4</v>
      </c>
      <c r="U39">
        <f t="shared" si="4"/>
        <v>0.35</v>
      </c>
      <c r="V39">
        <v>66</v>
      </c>
      <c r="X39">
        <f t="shared" si="5"/>
        <v>66</v>
      </c>
    </row>
    <row r="40" spans="1:24" x14ac:dyDescent="0.2">
      <c r="A40">
        <v>4856</v>
      </c>
      <c r="B40" s="3">
        <v>45745</v>
      </c>
      <c r="C40">
        <v>207</v>
      </c>
      <c r="D40">
        <v>189</v>
      </c>
      <c r="F40">
        <f t="shared" si="0"/>
        <v>198</v>
      </c>
      <c r="G40">
        <v>0.4</v>
      </c>
      <c r="H40">
        <v>0.4</v>
      </c>
      <c r="J40">
        <f t="shared" si="1"/>
        <v>0.4</v>
      </c>
      <c r="K40">
        <v>60</v>
      </c>
      <c r="M40">
        <f t="shared" si="2"/>
        <v>60</v>
      </c>
      <c r="N40">
        <v>200</v>
      </c>
      <c r="O40">
        <v>196</v>
      </c>
      <c r="Q40">
        <f t="shared" si="3"/>
        <v>198</v>
      </c>
      <c r="R40">
        <v>0.7</v>
      </c>
      <c r="S40">
        <v>0.6</v>
      </c>
      <c r="U40">
        <f t="shared" si="4"/>
        <v>0.64999999999999991</v>
      </c>
      <c r="V40">
        <v>62</v>
      </c>
      <c r="X40">
        <f t="shared" si="5"/>
        <v>62</v>
      </c>
    </row>
    <row r="41" spans="1:24" x14ac:dyDescent="0.2">
      <c r="A41">
        <v>4857</v>
      </c>
      <c r="B41" s="3">
        <v>45746</v>
      </c>
      <c r="C41">
        <v>177</v>
      </c>
      <c r="D41">
        <v>158</v>
      </c>
      <c r="F41">
        <f t="shared" si="0"/>
        <v>167.5</v>
      </c>
      <c r="G41">
        <v>0.4</v>
      </c>
      <c r="H41">
        <v>0.4</v>
      </c>
      <c r="J41">
        <f t="shared" si="1"/>
        <v>0.4</v>
      </c>
      <c r="K41">
        <v>58</v>
      </c>
      <c r="L41">
        <v>56</v>
      </c>
      <c r="M41">
        <f t="shared" si="2"/>
        <v>57</v>
      </c>
      <c r="N41">
        <v>196</v>
      </c>
      <c r="O41">
        <v>199</v>
      </c>
      <c r="Q41">
        <f t="shared" si="3"/>
        <v>197.5</v>
      </c>
      <c r="R41">
        <v>0.6</v>
      </c>
      <c r="S41">
        <v>0.5</v>
      </c>
      <c r="U41">
        <f t="shared" si="4"/>
        <v>0.55000000000000004</v>
      </c>
      <c r="V41">
        <v>60</v>
      </c>
      <c r="W41">
        <v>59</v>
      </c>
      <c r="X41">
        <f t="shared" si="5"/>
        <v>59.5</v>
      </c>
    </row>
    <row r="42" spans="1:24" x14ac:dyDescent="0.2">
      <c r="A42">
        <v>4858</v>
      </c>
      <c r="B42" s="3">
        <v>45754</v>
      </c>
      <c r="C42">
        <v>279</v>
      </c>
      <c r="D42">
        <v>261</v>
      </c>
      <c r="F42">
        <f t="shared" si="0"/>
        <v>270</v>
      </c>
      <c r="G42">
        <v>0.5</v>
      </c>
      <c r="H42">
        <v>0.6</v>
      </c>
      <c r="J42">
        <f t="shared" si="1"/>
        <v>0.55000000000000004</v>
      </c>
      <c r="K42">
        <v>54</v>
      </c>
      <c r="L42">
        <v>53</v>
      </c>
      <c r="M42">
        <f t="shared" si="2"/>
        <v>53.5</v>
      </c>
      <c r="O42">
        <v>240</v>
      </c>
      <c r="P42">
        <v>234</v>
      </c>
      <c r="Q42">
        <f t="shared" si="3"/>
        <v>237</v>
      </c>
      <c r="R42">
        <v>0.3</v>
      </c>
      <c r="S42">
        <v>0.4</v>
      </c>
      <c r="U42">
        <f t="shared" si="4"/>
        <v>0.35</v>
      </c>
      <c r="V42">
        <v>55</v>
      </c>
      <c r="W42">
        <v>55</v>
      </c>
      <c r="X42">
        <f t="shared" si="5"/>
        <v>55</v>
      </c>
    </row>
    <row r="43" spans="1:24" x14ac:dyDescent="0.2">
      <c r="A43">
        <v>4859</v>
      </c>
      <c r="B43" s="8">
        <v>45741</v>
      </c>
      <c r="C43">
        <v>255</v>
      </c>
      <c r="D43">
        <v>248</v>
      </c>
      <c r="F43">
        <f t="shared" si="0"/>
        <v>251.5</v>
      </c>
      <c r="G43">
        <v>0.4</v>
      </c>
      <c r="H43">
        <v>0.3</v>
      </c>
      <c r="J43">
        <f t="shared" si="1"/>
        <v>0.35</v>
      </c>
      <c r="K43">
        <v>59</v>
      </c>
      <c r="L43">
        <v>59</v>
      </c>
      <c r="M43">
        <f t="shared" si="2"/>
        <v>59</v>
      </c>
      <c r="N43">
        <v>240</v>
      </c>
      <c r="O43">
        <v>231</v>
      </c>
      <c r="Q43">
        <f t="shared" si="3"/>
        <v>235.5</v>
      </c>
      <c r="R43">
        <v>0.4</v>
      </c>
      <c r="S43">
        <v>0.3</v>
      </c>
      <c r="U43">
        <f t="shared" si="4"/>
        <v>0.35</v>
      </c>
    </row>
    <row r="44" spans="1:24" x14ac:dyDescent="0.2">
      <c r="A44">
        <v>4860</v>
      </c>
      <c r="B44" s="3">
        <v>45744</v>
      </c>
      <c r="C44">
        <v>193</v>
      </c>
      <c r="D44">
        <v>176</v>
      </c>
      <c r="F44">
        <f t="shared" si="0"/>
        <v>184.5</v>
      </c>
      <c r="G44">
        <v>0.3</v>
      </c>
      <c r="H44">
        <v>0.3</v>
      </c>
      <c r="J44">
        <f t="shared" si="1"/>
        <v>0.3</v>
      </c>
      <c r="K44">
        <v>56</v>
      </c>
      <c r="L44">
        <v>56</v>
      </c>
      <c r="M44">
        <f t="shared" si="2"/>
        <v>56</v>
      </c>
      <c r="N44">
        <v>221</v>
      </c>
      <c r="O44">
        <v>218</v>
      </c>
      <c r="Q44">
        <f t="shared" si="3"/>
        <v>219.5</v>
      </c>
      <c r="R44">
        <v>0.4</v>
      </c>
      <c r="S44">
        <v>0.3</v>
      </c>
      <c r="U44">
        <f t="shared" si="4"/>
        <v>0.35</v>
      </c>
      <c r="V44">
        <v>51</v>
      </c>
      <c r="W44">
        <v>50</v>
      </c>
      <c r="X44">
        <f t="shared" si="5"/>
        <v>50.5</v>
      </c>
    </row>
    <row r="45" spans="1:24" x14ac:dyDescent="0.2">
      <c r="A45">
        <v>4861</v>
      </c>
      <c r="B45" s="3">
        <v>45755</v>
      </c>
      <c r="C45">
        <v>187</v>
      </c>
      <c r="D45">
        <v>169</v>
      </c>
      <c r="F45">
        <f t="shared" si="0"/>
        <v>178</v>
      </c>
      <c r="G45">
        <v>0.4</v>
      </c>
      <c r="H45">
        <v>0.5</v>
      </c>
      <c r="J45">
        <f t="shared" si="1"/>
        <v>0.45</v>
      </c>
      <c r="K45">
        <v>61</v>
      </c>
      <c r="L45">
        <v>60</v>
      </c>
      <c r="M45">
        <f t="shared" si="2"/>
        <v>60.5</v>
      </c>
      <c r="N45">
        <v>182</v>
      </c>
      <c r="O45">
        <v>194</v>
      </c>
      <c r="Q45">
        <f t="shared" si="3"/>
        <v>188</v>
      </c>
      <c r="R45">
        <v>0.4</v>
      </c>
      <c r="S45">
        <v>0.4</v>
      </c>
      <c r="U45">
        <f t="shared" si="4"/>
        <v>0.4</v>
      </c>
      <c r="V45">
        <v>56</v>
      </c>
      <c r="W45">
        <v>56</v>
      </c>
      <c r="X45">
        <f t="shared" si="5"/>
        <v>56</v>
      </c>
    </row>
    <row r="46" spans="1:24" x14ac:dyDescent="0.2">
      <c r="A46">
        <v>4862</v>
      </c>
      <c r="B46" s="8">
        <v>45748</v>
      </c>
      <c r="C46">
        <v>224</v>
      </c>
      <c r="D46">
        <v>252</v>
      </c>
      <c r="F46">
        <f t="shared" si="0"/>
        <v>238</v>
      </c>
      <c r="G46">
        <v>0.3</v>
      </c>
      <c r="H46">
        <v>0.3</v>
      </c>
      <c r="J46">
        <f t="shared" si="1"/>
        <v>0.3</v>
      </c>
      <c r="K46">
        <v>60</v>
      </c>
      <c r="M46">
        <f t="shared" si="2"/>
        <v>60</v>
      </c>
      <c r="O46">
        <v>396</v>
      </c>
      <c r="P46">
        <v>389</v>
      </c>
      <c r="Q46">
        <f t="shared" si="3"/>
        <v>392.5</v>
      </c>
      <c r="R46">
        <v>0.4</v>
      </c>
      <c r="S46">
        <v>0.4</v>
      </c>
      <c r="U46">
        <f t="shared" si="4"/>
        <v>0.4</v>
      </c>
      <c r="V46">
        <v>57</v>
      </c>
      <c r="X46">
        <f t="shared" si="5"/>
        <v>57</v>
      </c>
    </row>
    <row r="47" spans="1:24" x14ac:dyDescent="0.2">
      <c r="A47">
        <v>4863</v>
      </c>
      <c r="B47" s="3"/>
      <c r="F47" t="e">
        <f t="shared" si="0"/>
        <v>#DIV/0!</v>
      </c>
      <c r="J47" t="e">
        <f t="shared" si="1"/>
        <v>#DIV/0!</v>
      </c>
      <c r="M47" t="e">
        <f t="shared" si="2"/>
        <v>#DIV/0!</v>
      </c>
      <c r="N47">
        <v>268</v>
      </c>
      <c r="O47">
        <v>238</v>
      </c>
      <c r="Q47">
        <f t="shared" si="3"/>
        <v>253</v>
      </c>
      <c r="V47">
        <v>50</v>
      </c>
      <c r="X47">
        <v>50</v>
      </c>
    </row>
    <row r="48" spans="1:24" x14ac:dyDescent="0.2">
      <c r="A48">
        <v>4864</v>
      </c>
      <c r="B48" s="8">
        <v>45747</v>
      </c>
      <c r="C48">
        <v>246</v>
      </c>
      <c r="D48">
        <v>241</v>
      </c>
      <c r="F48">
        <f t="shared" si="0"/>
        <v>243.5</v>
      </c>
      <c r="G48">
        <v>0.3</v>
      </c>
      <c r="H48">
        <v>0.3</v>
      </c>
      <c r="J48">
        <f t="shared" si="1"/>
        <v>0.3</v>
      </c>
      <c r="K48">
        <v>60</v>
      </c>
      <c r="L48">
        <v>61</v>
      </c>
      <c r="M48">
        <f t="shared" si="2"/>
        <v>60.5</v>
      </c>
      <c r="N48">
        <v>264</v>
      </c>
      <c r="O48">
        <v>265</v>
      </c>
      <c r="Q48">
        <f t="shared" si="3"/>
        <v>264.5</v>
      </c>
      <c r="R48">
        <v>0.4</v>
      </c>
      <c r="S48">
        <v>0.4</v>
      </c>
      <c r="U48">
        <f t="shared" si="4"/>
        <v>0.4</v>
      </c>
      <c r="V48">
        <v>59</v>
      </c>
      <c r="X48">
        <f t="shared" si="5"/>
        <v>59</v>
      </c>
    </row>
    <row r="49" spans="1:24" x14ac:dyDescent="0.2">
      <c r="A49">
        <v>4865</v>
      </c>
      <c r="B49" s="8">
        <v>45749</v>
      </c>
      <c r="C49">
        <v>250</v>
      </c>
      <c r="D49">
        <v>239</v>
      </c>
      <c r="F49">
        <f t="shared" si="0"/>
        <v>244.5</v>
      </c>
      <c r="G49">
        <v>0.4</v>
      </c>
      <c r="H49">
        <v>0.4</v>
      </c>
      <c r="J49">
        <f t="shared" si="1"/>
        <v>0.4</v>
      </c>
      <c r="K49">
        <v>52</v>
      </c>
      <c r="M49">
        <f t="shared" si="2"/>
        <v>52</v>
      </c>
      <c r="N49">
        <v>263</v>
      </c>
      <c r="Q49">
        <f t="shared" si="3"/>
        <v>263</v>
      </c>
      <c r="R49">
        <v>0.6</v>
      </c>
      <c r="U49">
        <f t="shared" si="4"/>
        <v>0.6</v>
      </c>
      <c r="V49">
        <v>58</v>
      </c>
      <c r="X49">
        <f t="shared" si="5"/>
        <v>58</v>
      </c>
    </row>
    <row r="50" spans="1:24" x14ac:dyDescent="0.2">
      <c r="A50">
        <v>4866</v>
      </c>
      <c r="F50" t="e">
        <f t="shared" si="0"/>
        <v>#DIV/0!</v>
      </c>
      <c r="J50" t="e">
        <f t="shared" si="1"/>
        <v>#DIV/0!</v>
      </c>
      <c r="M50" t="e">
        <f t="shared" si="2"/>
        <v>#DIV/0!</v>
      </c>
      <c r="Q50" t="e">
        <f t="shared" si="3"/>
        <v>#DIV/0!</v>
      </c>
      <c r="U50" t="e">
        <f t="shared" si="4"/>
        <v>#DIV/0!</v>
      </c>
      <c r="X50" t="e">
        <f t="shared" si="5"/>
        <v>#DIV/0!</v>
      </c>
    </row>
    <row r="51" spans="1:24" x14ac:dyDescent="0.2">
      <c r="A51">
        <v>4867</v>
      </c>
      <c r="B51" s="3">
        <v>45751</v>
      </c>
      <c r="C51">
        <v>250</v>
      </c>
      <c r="D51">
        <v>246</v>
      </c>
      <c r="F51">
        <f t="shared" si="0"/>
        <v>248</v>
      </c>
      <c r="G51">
        <v>0.5</v>
      </c>
      <c r="H51">
        <v>0.4</v>
      </c>
      <c r="J51">
        <f t="shared" si="1"/>
        <v>0.45</v>
      </c>
      <c r="K51">
        <v>59</v>
      </c>
      <c r="L51">
        <v>58</v>
      </c>
      <c r="M51">
        <f t="shared" si="2"/>
        <v>58.5</v>
      </c>
      <c r="N51">
        <v>235</v>
      </c>
      <c r="O51">
        <v>240</v>
      </c>
      <c r="Q51">
        <f t="shared" si="3"/>
        <v>237.5</v>
      </c>
      <c r="R51">
        <v>0.5</v>
      </c>
      <c r="S51">
        <v>0.6</v>
      </c>
      <c r="U51">
        <f t="shared" si="4"/>
        <v>0.55000000000000004</v>
      </c>
      <c r="V51">
        <v>60</v>
      </c>
      <c r="X51">
        <f t="shared" si="5"/>
        <v>60</v>
      </c>
    </row>
    <row r="52" spans="1:24" x14ac:dyDescent="0.2">
      <c r="A52">
        <v>4868</v>
      </c>
      <c r="B52" s="3">
        <v>45734</v>
      </c>
      <c r="C52">
        <v>187</v>
      </c>
      <c r="F52">
        <f t="shared" si="0"/>
        <v>187</v>
      </c>
      <c r="G52">
        <v>0.6</v>
      </c>
      <c r="J52">
        <f t="shared" si="1"/>
        <v>0.6</v>
      </c>
      <c r="K52">
        <v>60</v>
      </c>
      <c r="L52">
        <v>62</v>
      </c>
      <c r="M52">
        <f t="shared" si="2"/>
        <v>61</v>
      </c>
      <c r="O52">
        <v>240</v>
      </c>
      <c r="P52">
        <v>236</v>
      </c>
      <c r="Q52">
        <f t="shared" si="3"/>
        <v>238</v>
      </c>
      <c r="R52">
        <v>0.4</v>
      </c>
      <c r="S52">
        <v>0.3</v>
      </c>
      <c r="U52">
        <f t="shared" si="4"/>
        <v>0.35</v>
      </c>
      <c r="V52">
        <v>54</v>
      </c>
      <c r="W52">
        <v>56</v>
      </c>
      <c r="X52">
        <f t="shared" si="5"/>
        <v>55</v>
      </c>
    </row>
    <row r="53" spans="1:24" x14ac:dyDescent="0.2">
      <c r="A53">
        <v>4869</v>
      </c>
      <c r="B53" s="3">
        <v>45733</v>
      </c>
      <c r="C53">
        <v>208</v>
      </c>
      <c r="D53">
        <v>209</v>
      </c>
      <c r="F53">
        <f t="shared" si="0"/>
        <v>208.5</v>
      </c>
      <c r="H53">
        <v>0.7</v>
      </c>
      <c r="I53">
        <v>0.8</v>
      </c>
      <c r="J53">
        <f t="shared" si="1"/>
        <v>0.75</v>
      </c>
      <c r="K53">
        <v>60</v>
      </c>
      <c r="L53">
        <v>58</v>
      </c>
      <c r="M53">
        <f t="shared" si="2"/>
        <v>59</v>
      </c>
      <c r="N53">
        <v>250</v>
      </c>
      <c r="O53">
        <v>241</v>
      </c>
      <c r="Q53">
        <f t="shared" si="3"/>
        <v>245.5</v>
      </c>
      <c r="R53">
        <v>0.5</v>
      </c>
      <c r="S53">
        <v>0.5</v>
      </c>
      <c r="U53">
        <f t="shared" si="4"/>
        <v>0.5</v>
      </c>
      <c r="V53">
        <v>55</v>
      </c>
      <c r="X53">
        <f t="shared" si="5"/>
        <v>55</v>
      </c>
    </row>
    <row r="54" spans="1:24" x14ac:dyDescent="0.2">
      <c r="A54">
        <v>4870</v>
      </c>
      <c r="B54" s="8">
        <v>45735</v>
      </c>
      <c r="C54">
        <v>282</v>
      </c>
      <c r="D54">
        <v>227</v>
      </c>
      <c r="F54">
        <f t="shared" si="0"/>
        <v>254.5</v>
      </c>
      <c r="G54">
        <v>0.4</v>
      </c>
      <c r="H54">
        <v>0.3</v>
      </c>
      <c r="J54">
        <f t="shared" si="1"/>
        <v>0.35</v>
      </c>
      <c r="K54">
        <v>60</v>
      </c>
      <c r="L54">
        <v>58</v>
      </c>
      <c r="M54">
        <f t="shared" si="2"/>
        <v>59</v>
      </c>
      <c r="N54">
        <v>235</v>
      </c>
      <c r="O54">
        <v>234</v>
      </c>
      <c r="Q54">
        <f t="shared" si="3"/>
        <v>234.5</v>
      </c>
      <c r="R54">
        <v>0.4</v>
      </c>
      <c r="S54">
        <v>0.5</v>
      </c>
      <c r="U54">
        <f t="shared" si="4"/>
        <v>0.45</v>
      </c>
      <c r="V54">
        <v>55</v>
      </c>
      <c r="W54">
        <v>54</v>
      </c>
      <c r="X54">
        <f t="shared" si="5"/>
        <v>54.5</v>
      </c>
    </row>
    <row r="55" spans="1:24" x14ac:dyDescent="0.2">
      <c r="A55">
        <v>4871</v>
      </c>
      <c r="B55" s="3">
        <v>45738</v>
      </c>
      <c r="C55">
        <v>408</v>
      </c>
      <c r="D55">
        <v>417</v>
      </c>
      <c r="F55">
        <f t="shared" si="0"/>
        <v>412.5</v>
      </c>
      <c r="G55">
        <v>0.5</v>
      </c>
      <c r="H55">
        <v>0.4</v>
      </c>
      <c r="J55">
        <f t="shared" si="1"/>
        <v>0.45</v>
      </c>
      <c r="K55">
        <v>46</v>
      </c>
      <c r="M55">
        <f t="shared" si="2"/>
        <v>46</v>
      </c>
      <c r="N55">
        <v>255</v>
      </c>
      <c r="O55">
        <v>267</v>
      </c>
      <c r="Q55">
        <f t="shared" si="3"/>
        <v>261</v>
      </c>
      <c r="R55">
        <v>0.4</v>
      </c>
      <c r="U55">
        <f t="shared" si="4"/>
        <v>0.4</v>
      </c>
    </row>
    <row r="56" spans="1:24" x14ac:dyDescent="0.2">
      <c r="A56">
        <v>4872</v>
      </c>
      <c r="F56" t="e">
        <f t="shared" si="0"/>
        <v>#DIV/0!</v>
      </c>
      <c r="J56" t="e">
        <f t="shared" si="1"/>
        <v>#DIV/0!</v>
      </c>
      <c r="M56" t="e">
        <f t="shared" si="2"/>
        <v>#DIV/0!</v>
      </c>
      <c r="Q56" t="e">
        <f t="shared" si="3"/>
        <v>#DIV/0!</v>
      </c>
      <c r="U56" t="e">
        <f t="shared" si="4"/>
        <v>#DIV/0!</v>
      </c>
      <c r="X56" t="e">
        <f t="shared" si="5"/>
        <v>#DIV/0!</v>
      </c>
    </row>
    <row r="57" spans="1:24" x14ac:dyDescent="0.2">
      <c r="A57">
        <v>4873</v>
      </c>
      <c r="B57" s="3">
        <v>45736</v>
      </c>
      <c r="C57">
        <v>248</v>
      </c>
      <c r="D57">
        <v>259</v>
      </c>
      <c r="F57">
        <f t="shared" si="0"/>
        <v>253.5</v>
      </c>
      <c r="G57">
        <v>1.1000000000000001</v>
      </c>
      <c r="H57">
        <v>0.8</v>
      </c>
      <c r="J57">
        <f t="shared" si="1"/>
        <v>0.95000000000000007</v>
      </c>
      <c r="K57">
        <v>63</v>
      </c>
      <c r="L57">
        <v>60</v>
      </c>
      <c r="M57">
        <f t="shared" si="2"/>
        <v>61.5</v>
      </c>
      <c r="O57">
        <v>207</v>
      </c>
      <c r="P57">
        <v>192</v>
      </c>
      <c r="Q57">
        <f t="shared" si="3"/>
        <v>199.5</v>
      </c>
      <c r="R57">
        <v>0.4</v>
      </c>
      <c r="U57">
        <f t="shared" si="4"/>
        <v>0.4</v>
      </c>
      <c r="V57">
        <v>60</v>
      </c>
      <c r="W57">
        <v>60</v>
      </c>
      <c r="X57">
        <f t="shared" si="5"/>
        <v>60</v>
      </c>
    </row>
    <row r="58" spans="1:24" x14ac:dyDescent="0.2">
      <c r="A58">
        <v>4874</v>
      </c>
      <c r="B58" s="8">
        <v>45741</v>
      </c>
      <c r="C58">
        <v>231</v>
      </c>
      <c r="D58">
        <v>243</v>
      </c>
      <c r="F58">
        <f t="shared" si="0"/>
        <v>237</v>
      </c>
      <c r="G58">
        <v>0.6</v>
      </c>
      <c r="H58">
        <v>0.7</v>
      </c>
      <c r="J58">
        <f t="shared" si="1"/>
        <v>0.64999999999999991</v>
      </c>
      <c r="K58">
        <v>53</v>
      </c>
      <c r="L58">
        <v>52</v>
      </c>
      <c r="M58">
        <f t="shared" si="2"/>
        <v>52.5</v>
      </c>
      <c r="N58">
        <v>190</v>
      </c>
      <c r="O58">
        <v>188</v>
      </c>
      <c r="Q58">
        <f t="shared" si="3"/>
        <v>189</v>
      </c>
      <c r="S58">
        <v>0.4</v>
      </c>
      <c r="T58">
        <v>0.4</v>
      </c>
      <c r="U58">
        <f t="shared" si="4"/>
        <v>0.4</v>
      </c>
      <c r="V58">
        <v>56</v>
      </c>
      <c r="W58">
        <v>58</v>
      </c>
      <c r="X58">
        <f t="shared" si="5"/>
        <v>57</v>
      </c>
    </row>
    <row r="59" spans="1:24" x14ac:dyDescent="0.2">
      <c r="A59">
        <v>4875</v>
      </c>
      <c r="B59" s="8">
        <v>45739</v>
      </c>
      <c r="C59">
        <v>179</v>
      </c>
      <c r="D59">
        <v>162</v>
      </c>
      <c r="F59">
        <f t="shared" si="0"/>
        <v>170.5</v>
      </c>
      <c r="G59">
        <v>0.3</v>
      </c>
      <c r="H59">
        <v>0.4</v>
      </c>
      <c r="J59">
        <f t="shared" si="1"/>
        <v>0.35</v>
      </c>
      <c r="K59">
        <v>60</v>
      </c>
      <c r="L59">
        <v>56</v>
      </c>
      <c r="M59">
        <f t="shared" si="2"/>
        <v>58</v>
      </c>
      <c r="N59">
        <v>240</v>
      </c>
      <c r="Q59">
        <f>AVERAGE(N59:P59)</f>
        <v>240</v>
      </c>
    </row>
    <row r="60" spans="1:24" x14ac:dyDescent="0.2">
      <c r="A60">
        <v>4876</v>
      </c>
      <c r="B60" s="8">
        <v>45740</v>
      </c>
      <c r="C60">
        <v>256</v>
      </c>
      <c r="D60">
        <v>236</v>
      </c>
      <c r="F60">
        <f t="shared" si="0"/>
        <v>246</v>
      </c>
      <c r="G60">
        <v>0.4</v>
      </c>
      <c r="H60">
        <v>0.3</v>
      </c>
      <c r="J60">
        <f t="shared" si="1"/>
        <v>0.35</v>
      </c>
      <c r="K60">
        <v>54</v>
      </c>
      <c r="L60">
        <v>54</v>
      </c>
      <c r="M60">
        <f t="shared" si="2"/>
        <v>54</v>
      </c>
      <c r="N60">
        <v>206</v>
      </c>
      <c r="O60">
        <v>206</v>
      </c>
      <c r="Q60">
        <f t="shared" si="3"/>
        <v>206</v>
      </c>
      <c r="R60">
        <v>0.3</v>
      </c>
      <c r="S60">
        <v>0.3</v>
      </c>
      <c r="U60">
        <f t="shared" si="4"/>
        <v>0.3</v>
      </c>
      <c r="V60">
        <v>56</v>
      </c>
      <c r="W60">
        <v>44</v>
      </c>
      <c r="X60">
        <f t="shared" si="5"/>
        <v>50</v>
      </c>
    </row>
    <row r="61" spans="1:24" x14ac:dyDescent="0.2">
      <c r="A61">
        <v>4877</v>
      </c>
      <c r="B61" s="8"/>
      <c r="F61" t="e">
        <f t="shared" si="0"/>
        <v>#DIV/0!</v>
      </c>
      <c r="J61" t="e">
        <f t="shared" si="1"/>
        <v>#DIV/0!</v>
      </c>
      <c r="M61" t="e">
        <f t="shared" si="2"/>
        <v>#DIV/0!</v>
      </c>
      <c r="N61">
        <v>209</v>
      </c>
      <c r="Q61">
        <f t="shared" si="3"/>
        <v>209</v>
      </c>
      <c r="R61">
        <v>0.4</v>
      </c>
      <c r="U61">
        <f t="shared" si="4"/>
        <v>0.4</v>
      </c>
      <c r="V61">
        <v>50</v>
      </c>
      <c r="X61">
        <f t="shared" si="5"/>
        <v>50</v>
      </c>
    </row>
    <row r="62" spans="1:24" x14ac:dyDescent="0.2">
      <c r="A62">
        <v>4878</v>
      </c>
      <c r="B62" s="3">
        <v>45744</v>
      </c>
      <c r="C62">
        <v>202</v>
      </c>
      <c r="D62">
        <v>198</v>
      </c>
      <c r="F62">
        <f t="shared" si="0"/>
        <v>200</v>
      </c>
      <c r="G62">
        <v>0.7</v>
      </c>
      <c r="H62">
        <v>0.7</v>
      </c>
      <c r="J62">
        <f t="shared" si="1"/>
        <v>0.7</v>
      </c>
      <c r="K62">
        <v>66</v>
      </c>
      <c r="L62">
        <v>66</v>
      </c>
      <c r="M62">
        <f t="shared" si="2"/>
        <v>66</v>
      </c>
      <c r="N62">
        <v>183</v>
      </c>
      <c r="O62">
        <v>169</v>
      </c>
      <c r="Q62">
        <f t="shared" si="3"/>
        <v>176</v>
      </c>
      <c r="R62">
        <v>0.5</v>
      </c>
      <c r="S62">
        <v>0.6</v>
      </c>
      <c r="U62">
        <f t="shared" si="4"/>
        <v>0.55000000000000004</v>
      </c>
      <c r="V62">
        <v>60</v>
      </c>
      <c r="W62">
        <v>60</v>
      </c>
      <c r="X62">
        <f t="shared" si="5"/>
        <v>60</v>
      </c>
    </row>
    <row r="63" spans="1:24" x14ac:dyDescent="0.2">
      <c r="A63">
        <v>4879</v>
      </c>
      <c r="B63" s="3"/>
      <c r="F63" t="e">
        <f t="shared" si="0"/>
        <v>#DIV/0!</v>
      </c>
      <c r="J63" t="e">
        <f t="shared" si="1"/>
        <v>#DIV/0!</v>
      </c>
      <c r="M63" t="e">
        <f t="shared" si="2"/>
        <v>#DIV/0!</v>
      </c>
      <c r="N63">
        <v>214</v>
      </c>
      <c r="P63">
        <v>222</v>
      </c>
      <c r="Q63">
        <f t="shared" si="3"/>
        <v>218</v>
      </c>
      <c r="R63">
        <v>0.2</v>
      </c>
      <c r="S63">
        <v>0.2</v>
      </c>
      <c r="U63">
        <f t="shared" si="4"/>
        <v>0.2</v>
      </c>
      <c r="V63">
        <v>46</v>
      </c>
      <c r="W63">
        <v>50</v>
      </c>
      <c r="X63">
        <f t="shared" si="5"/>
        <v>48</v>
      </c>
    </row>
    <row r="64" spans="1:24" x14ac:dyDescent="0.2">
      <c r="A64">
        <v>4880</v>
      </c>
      <c r="B64" s="3">
        <v>45743</v>
      </c>
      <c r="C64">
        <v>175</v>
      </c>
      <c r="D64">
        <v>181</v>
      </c>
      <c r="F64">
        <f t="shared" si="0"/>
        <v>178</v>
      </c>
      <c r="G64">
        <v>0.3</v>
      </c>
      <c r="H64">
        <v>0.2</v>
      </c>
      <c r="J64">
        <f t="shared" si="1"/>
        <v>0.25</v>
      </c>
      <c r="N64">
        <v>213</v>
      </c>
      <c r="Q64">
        <f t="shared" si="3"/>
        <v>213</v>
      </c>
      <c r="R64">
        <v>0.6</v>
      </c>
      <c r="U64">
        <f t="shared" si="4"/>
        <v>0.6</v>
      </c>
      <c r="V64">
        <v>60</v>
      </c>
      <c r="X64">
        <f t="shared" si="5"/>
        <v>60</v>
      </c>
    </row>
    <row r="65" spans="1:24" x14ac:dyDescent="0.2">
      <c r="A65">
        <v>4881</v>
      </c>
      <c r="B65" s="3">
        <v>45746</v>
      </c>
      <c r="F65" t="s">
        <v>140</v>
      </c>
      <c r="J65" t="s">
        <v>140</v>
      </c>
      <c r="M65" t="s">
        <v>140</v>
      </c>
      <c r="N65">
        <v>186</v>
      </c>
      <c r="O65">
        <v>188</v>
      </c>
      <c r="Q65">
        <f t="shared" si="3"/>
        <v>187</v>
      </c>
      <c r="R65">
        <v>0.3</v>
      </c>
      <c r="U65">
        <f t="shared" si="4"/>
        <v>0.3</v>
      </c>
      <c r="X65" t="e">
        <f t="shared" si="5"/>
        <v>#DIV/0!</v>
      </c>
    </row>
    <row r="66" spans="1:24" x14ac:dyDescent="0.2">
      <c r="A66">
        <v>4882</v>
      </c>
      <c r="B66" s="3">
        <v>45753</v>
      </c>
      <c r="C66">
        <v>172</v>
      </c>
      <c r="F66">
        <f t="shared" si="0"/>
        <v>172</v>
      </c>
      <c r="G66">
        <v>0.6</v>
      </c>
      <c r="J66">
        <f t="shared" si="1"/>
        <v>0.6</v>
      </c>
      <c r="K66">
        <v>64</v>
      </c>
      <c r="M66">
        <f t="shared" si="2"/>
        <v>64</v>
      </c>
      <c r="N66">
        <v>261</v>
      </c>
      <c r="O66">
        <v>224</v>
      </c>
      <c r="Q66">
        <f>AVERAGE(N66:P66)</f>
        <v>242.5</v>
      </c>
      <c r="R66">
        <v>0.6</v>
      </c>
      <c r="S66">
        <v>0.4</v>
      </c>
      <c r="U66">
        <f>AVERAGE(R66:T66)</f>
        <v>0.5</v>
      </c>
      <c r="V66">
        <v>56</v>
      </c>
      <c r="X66">
        <f>AVERAGE(V66:W66)</f>
        <v>56</v>
      </c>
    </row>
    <row r="67" spans="1:24" x14ac:dyDescent="0.2">
      <c r="A67">
        <v>4883</v>
      </c>
      <c r="B67" s="3">
        <v>45741</v>
      </c>
      <c r="C67">
        <v>240</v>
      </c>
      <c r="F67">
        <f t="shared" ref="F67:F99" si="6">AVERAGE(C67:E67)</f>
        <v>240</v>
      </c>
      <c r="G67">
        <v>0.5</v>
      </c>
      <c r="J67">
        <f t="shared" ref="J67:J99" si="7">AVERAGE(G67:I67)</f>
        <v>0.5</v>
      </c>
      <c r="K67">
        <v>54</v>
      </c>
      <c r="M67">
        <f t="shared" ref="M67:M99" si="8">AVERAGE(K67:L67)</f>
        <v>54</v>
      </c>
      <c r="N67">
        <v>209</v>
      </c>
      <c r="O67">
        <v>207</v>
      </c>
      <c r="Q67">
        <f t="shared" ref="Q67:Q99" si="9">AVERAGE(N67:P67)</f>
        <v>208</v>
      </c>
      <c r="R67">
        <v>0.3</v>
      </c>
      <c r="S67">
        <v>0.3</v>
      </c>
      <c r="U67">
        <f t="shared" ref="U67:U99" si="10">AVERAGE(R67:T67)</f>
        <v>0.3</v>
      </c>
      <c r="X67" t="e">
        <f t="shared" ref="X67:X99" si="11">AVERAGE(V67:W67)</f>
        <v>#DIV/0!</v>
      </c>
    </row>
    <row r="68" spans="1:24" x14ac:dyDescent="0.2">
      <c r="A68">
        <v>4884</v>
      </c>
      <c r="B68" s="8">
        <v>45745</v>
      </c>
      <c r="C68">
        <v>221</v>
      </c>
      <c r="D68">
        <v>212</v>
      </c>
      <c r="F68">
        <f t="shared" si="6"/>
        <v>216.5</v>
      </c>
      <c r="G68">
        <v>0.4</v>
      </c>
      <c r="H68">
        <v>0.4</v>
      </c>
      <c r="J68">
        <f t="shared" si="7"/>
        <v>0.4</v>
      </c>
      <c r="K68">
        <v>58</v>
      </c>
      <c r="M68">
        <f t="shared" si="8"/>
        <v>58</v>
      </c>
      <c r="N68">
        <v>180</v>
      </c>
      <c r="O68">
        <v>187</v>
      </c>
      <c r="Q68">
        <f t="shared" si="9"/>
        <v>183.5</v>
      </c>
      <c r="R68">
        <v>0.3</v>
      </c>
      <c r="S68">
        <v>0.3</v>
      </c>
      <c r="U68">
        <f t="shared" si="10"/>
        <v>0.3</v>
      </c>
      <c r="V68">
        <v>57</v>
      </c>
      <c r="W68">
        <v>53</v>
      </c>
      <c r="X68">
        <f t="shared" si="11"/>
        <v>55</v>
      </c>
    </row>
    <row r="69" spans="1:24" x14ac:dyDescent="0.2">
      <c r="A69">
        <v>4885</v>
      </c>
      <c r="B69" s="3">
        <v>45747</v>
      </c>
      <c r="F69" t="s">
        <v>140</v>
      </c>
      <c r="J69" t="s">
        <v>140</v>
      </c>
      <c r="M69" t="s">
        <v>140</v>
      </c>
      <c r="N69">
        <v>152</v>
      </c>
      <c r="O69">
        <v>174</v>
      </c>
      <c r="Q69">
        <f t="shared" si="9"/>
        <v>163</v>
      </c>
      <c r="S69">
        <v>0.7</v>
      </c>
      <c r="T69">
        <v>0.7</v>
      </c>
      <c r="U69">
        <f t="shared" si="10"/>
        <v>0.7</v>
      </c>
      <c r="V69">
        <v>64</v>
      </c>
      <c r="W69">
        <v>62</v>
      </c>
      <c r="X69">
        <f t="shared" si="11"/>
        <v>63</v>
      </c>
    </row>
    <row r="70" spans="1:24" x14ac:dyDescent="0.2">
      <c r="A70">
        <v>4886</v>
      </c>
      <c r="B70" s="3">
        <v>45748</v>
      </c>
      <c r="C70">
        <v>197</v>
      </c>
      <c r="D70">
        <v>193</v>
      </c>
      <c r="F70">
        <f t="shared" si="6"/>
        <v>195</v>
      </c>
      <c r="G70">
        <v>0.4</v>
      </c>
      <c r="H70">
        <v>0.4</v>
      </c>
      <c r="J70">
        <f t="shared" si="7"/>
        <v>0.4</v>
      </c>
      <c r="K70">
        <v>57</v>
      </c>
      <c r="L70">
        <v>56</v>
      </c>
      <c r="M70">
        <f t="shared" si="8"/>
        <v>56.5</v>
      </c>
      <c r="N70">
        <v>294</v>
      </c>
      <c r="P70">
        <v>315</v>
      </c>
      <c r="Q70">
        <f t="shared" si="9"/>
        <v>304.5</v>
      </c>
      <c r="R70">
        <v>0.2</v>
      </c>
      <c r="S70">
        <v>0.2</v>
      </c>
      <c r="U70">
        <f t="shared" si="10"/>
        <v>0.2</v>
      </c>
      <c r="V70">
        <v>47</v>
      </c>
      <c r="W70">
        <v>45</v>
      </c>
      <c r="X70">
        <f t="shared" si="11"/>
        <v>46</v>
      </c>
    </row>
    <row r="71" spans="1:24" x14ac:dyDescent="0.2">
      <c r="A71">
        <v>4887</v>
      </c>
      <c r="B71" s="3">
        <v>45749</v>
      </c>
      <c r="C71">
        <v>248</v>
      </c>
      <c r="D71">
        <v>216</v>
      </c>
      <c r="F71">
        <f t="shared" si="6"/>
        <v>232</v>
      </c>
      <c r="G71">
        <v>0.7</v>
      </c>
      <c r="H71">
        <v>0.7</v>
      </c>
      <c r="J71">
        <f t="shared" si="7"/>
        <v>0.7</v>
      </c>
      <c r="K71">
        <v>54</v>
      </c>
      <c r="L71">
        <v>55</v>
      </c>
      <c r="M71">
        <f t="shared" si="8"/>
        <v>54.5</v>
      </c>
      <c r="N71">
        <v>226</v>
      </c>
      <c r="O71">
        <v>210</v>
      </c>
      <c r="Q71">
        <f t="shared" si="9"/>
        <v>218</v>
      </c>
      <c r="R71">
        <v>0.6</v>
      </c>
      <c r="S71">
        <v>0.5</v>
      </c>
      <c r="U71">
        <f t="shared" si="10"/>
        <v>0.55000000000000004</v>
      </c>
      <c r="V71">
        <v>58</v>
      </c>
      <c r="X71">
        <f t="shared" si="11"/>
        <v>58</v>
      </c>
    </row>
    <row r="72" spans="1:24" x14ac:dyDescent="0.2">
      <c r="A72">
        <v>4888</v>
      </c>
      <c r="B72" s="3">
        <v>45751</v>
      </c>
      <c r="C72">
        <v>156</v>
      </c>
      <c r="D72">
        <v>158</v>
      </c>
      <c r="F72">
        <f t="shared" si="6"/>
        <v>157</v>
      </c>
      <c r="G72">
        <v>0.5</v>
      </c>
      <c r="H72">
        <v>0.3</v>
      </c>
      <c r="J72">
        <f t="shared" si="7"/>
        <v>0.4</v>
      </c>
      <c r="K72">
        <v>60</v>
      </c>
      <c r="L72">
        <v>60</v>
      </c>
      <c r="M72">
        <f t="shared" si="8"/>
        <v>60</v>
      </c>
      <c r="N72">
        <v>208</v>
      </c>
      <c r="O72">
        <v>197</v>
      </c>
      <c r="Q72">
        <f t="shared" si="9"/>
        <v>202.5</v>
      </c>
      <c r="S72">
        <v>0.5</v>
      </c>
      <c r="T72">
        <v>0.4</v>
      </c>
      <c r="U72">
        <f t="shared" si="10"/>
        <v>0.45</v>
      </c>
      <c r="V72">
        <v>58</v>
      </c>
      <c r="X72">
        <f t="shared" si="11"/>
        <v>58</v>
      </c>
    </row>
    <row r="73" spans="1:24" x14ac:dyDescent="0.2">
      <c r="A73">
        <v>4889</v>
      </c>
      <c r="F73" t="e">
        <f t="shared" si="6"/>
        <v>#DIV/0!</v>
      </c>
      <c r="J73" t="e">
        <f t="shared" si="7"/>
        <v>#DIV/0!</v>
      </c>
      <c r="M73" t="e">
        <f t="shared" si="8"/>
        <v>#DIV/0!</v>
      </c>
      <c r="Q73" t="e">
        <f t="shared" si="9"/>
        <v>#DIV/0!</v>
      </c>
      <c r="U73" t="e">
        <f t="shared" si="10"/>
        <v>#DIV/0!</v>
      </c>
      <c r="X73" t="e">
        <f t="shared" si="11"/>
        <v>#DIV/0!</v>
      </c>
    </row>
    <row r="74" spans="1:24" x14ac:dyDescent="0.2">
      <c r="A74">
        <v>4890</v>
      </c>
      <c r="B74" s="3">
        <v>45750</v>
      </c>
      <c r="C74">
        <v>192</v>
      </c>
      <c r="D74">
        <v>200</v>
      </c>
      <c r="F74">
        <f t="shared" si="6"/>
        <v>196</v>
      </c>
      <c r="G74">
        <v>0.6</v>
      </c>
      <c r="H74">
        <v>0.5</v>
      </c>
      <c r="J74">
        <f t="shared" si="7"/>
        <v>0.55000000000000004</v>
      </c>
      <c r="K74">
        <v>60</v>
      </c>
      <c r="L74">
        <v>60</v>
      </c>
      <c r="M74">
        <f t="shared" si="8"/>
        <v>60</v>
      </c>
      <c r="N74">
        <v>185</v>
      </c>
      <c r="O74">
        <v>207</v>
      </c>
      <c r="Q74">
        <f t="shared" si="9"/>
        <v>196</v>
      </c>
      <c r="R74">
        <v>0.3</v>
      </c>
      <c r="S74">
        <v>0.4</v>
      </c>
      <c r="U74">
        <f t="shared" si="10"/>
        <v>0.35</v>
      </c>
      <c r="V74">
        <v>60</v>
      </c>
      <c r="W74">
        <v>60</v>
      </c>
      <c r="X74">
        <f t="shared" si="11"/>
        <v>60</v>
      </c>
    </row>
    <row r="75" spans="1:24" x14ac:dyDescent="0.2">
      <c r="A75">
        <v>4891</v>
      </c>
      <c r="B75" s="8">
        <v>45752</v>
      </c>
      <c r="C75">
        <v>211</v>
      </c>
      <c r="D75">
        <v>202</v>
      </c>
      <c r="F75">
        <f t="shared" si="6"/>
        <v>206.5</v>
      </c>
      <c r="G75">
        <v>0.7</v>
      </c>
      <c r="J75">
        <f t="shared" si="7"/>
        <v>0.7</v>
      </c>
      <c r="K75">
        <v>58</v>
      </c>
      <c r="L75">
        <v>56</v>
      </c>
      <c r="M75">
        <f t="shared" si="8"/>
        <v>57</v>
      </c>
      <c r="N75">
        <v>194</v>
      </c>
      <c r="O75">
        <v>185</v>
      </c>
      <c r="Q75">
        <f t="shared" si="9"/>
        <v>189.5</v>
      </c>
      <c r="R75">
        <v>0.5</v>
      </c>
      <c r="S75">
        <v>0.4</v>
      </c>
      <c r="U75">
        <f t="shared" si="10"/>
        <v>0.45</v>
      </c>
      <c r="V75">
        <v>56</v>
      </c>
      <c r="W75">
        <v>56</v>
      </c>
      <c r="X75">
        <f t="shared" si="11"/>
        <v>56</v>
      </c>
    </row>
    <row r="76" spans="1:24" x14ac:dyDescent="0.2">
      <c r="A76">
        <v>4892</v>
      </c>
      <c r="B76" s="3">
        <v>45754</v>
      </c>
      <c r="C76">
        <v>266</v>
      </c>
      <c r="D76">
        <v>264</v>
      </c>
      <c r="F76">
        <f t="shared" si="6"/>
        <v>265</v>
      </c>
      <c r="G76">
        <v>0.6</v>
      </c>
      <c r="H76">
        <v>0.6</v>
      </c>
      <c r="J76">
        <f t="shared" si="7"/>
        <v>0.6</v>
      </c>
      <c r="K76">
        <v>63</v>
      </c>
      <c r="L76">
        <v>62</v>
      </c>
      <c r="M76">
        <f t="shared" si="8"/>
        <v>62.5</v>
      </c>
      <c r="N76">
        <v>240</v>
      </c>
      <c r="Q76">
        <f t="shared" si="9"/>
        <v>240</v>
      </c>
      <c r="R76">
        <v>0.7</v>
      </c>
      <c r="U76">
        <f t="shared" si="10"/>
        <v>0.7</v>
      </c>
    </row>
    <row r="77" spans="1:24" x14ac:dyDescent="0.2">
      <c r="A77">
        <v>4893</v>
      </c>
      <c r="B77" s="3"/>
      <c r="F77" t="e">
        <f t="shared" si="6"/>
        <v>#DIV/0!</v>
      </c>
      <c r="J77" t="e">
        <f t="shared" si="7"/>
        <v>#DIV/0!</v>
      </c>
      <c r="M77" t="e">
        <f t="shared" si="8"/>
        <v>#DIV/0!</v>
      </c>
      <c r="N77">
        <v>218</v>
      </c>
      <c r="O77">
        <v>218</v>
      </c>
      <c r="Q77">
        <f t="shared" si="9"/>
        <v>218</v>
      </c>
      <c r="R77">
        <v>0.4</v>
      </c>
      <c r="S77">
        <v>0.4</v>
      </c>
      <c r="U77">
        <f t="shared" si="10"/>
        <v>0.4</v>
      </c>
      <c r="V77">
        <v>54</v>
      </c>
      <c r="W77">
        <v>51</v>
      </c>
      <c r="X77">
        <f t="shared" si="11"/>
        <v>52.5</v>
      </c>
    </row>
    <row r="78" spans="1:24" x14ac:dyDescent="0.2">
      <c r="A78">
        <v>4894</v>
      </c>
      <c r="B78" s="3">
        <v>45734</v>
      </c>
      <c r="C78">
        <v>230</v>
      </c>
      <c r="D78">
        <v>235</v>
      </c>
      <c r="F78">
        <f t="shared" si="6"/>
        <v>232.5</v>
      </c>
      <c r="G78">
        <v>0.3</v>
      </c>
      <c r="H78">
        <v>0.4</v>
      </c>
      <c r="J78">
        <f t="shared" si="7"/>
        <v>0.35</v>
      </c>
      <c r="K78">
        <v>58</v>
      </c>
      <c r="L78">
        <v>58</v>
      </c>
      <c r="M78">
        <f t="shared" si="8"/>
        <v>58</v>
      </c>
      <c r="N78">
        <v>183</v>
      </c>
      <c r="O78">
        <v>177</v>
      </c>
      <c r="Q78">
        <f t="shared" si="9"/>
        <v>180</v>
      </c>
      <c r="R78">
        <v>0.3</v>
      </c>
      <c r="S78">
        <v>0.3</v>
      </c>
      <c r="U78">
        <f t="shared" si="10"/>
        <v>0.3</v>
      </c>
      <c r="V78">
        <v>61</v>
      </c>
      <c r="W78">
        <v>61</v>
      </c>
      <c r="X78">
        <f t="shared" si="11"/>
        <v>61</v>
      </c>
    </row>
    <row r="79" spans="1:24" x14ac:dyDescent="0.2">
      <c r="A79">
        <v>4895</v>
      </c>
      <c r="B79" s="8">
        <v>45735</v>
      </c>
      <c r="C79">
        <v>236</v>
      </c>
      <c r="D79">
        <v>250</v>
      </c>
      <c r="F79">
        <f t="shared" si="6"/>
        <v>243</v>
      </c>
      <c r="G79">
        <v>0.4</v>
      </c>
      <c r="H79">
        <v>0.4</v>
      </c>
      <c r="J79">
        <f t="shared" si="7"/>
        <v>0.4</v>
      </c>
      <c r="K79">
        <v>54</v>
      </c>
      <c r="L79">
        <v>66</v>
      </c>
      <c r="M79">
        <f t="shared" si="8"/>
        <v>60</v>
      </c>
      <c r="N79">
        <v>222</v>
      </c>
      <c r="O79">
        <v>216</v>
      </c>
      <c r="Q79">
        <f t="shared" si="9"/>
        <v>219</v>
      </c>
      <c r="R79">
        <v>0.3</v>
      </c>
      <c r="T79">
        <v>0.2</v>
      </c>
      <c r="U79">
        <f t="shared" si="10"/>
        <v>0.25</v>
      </c>
      <c r="V79">
        <v>54</v>
      </c>
      <c r="W79">
        <v>55</v>
      </c>
      <c r="X79">
        <f t="shared" si="11"/>
        <v>54.5</v>
      </c>
    </row>
    <row r="80" spans="1:24" x14ac:dyDescent="0.2">
      <c r="A80">
        <v>4896</v>
      </c>
      <c r="B80" s="3"/>
      <c r="F80" t="e">
        <f t="shared" si="6"/>
        <v>#DIV/0!</v>
      </c>
      <c r="J80" t="e">
        <f t="shared" si="7"/>
        <v>#DIV/0!</v>
      </c>
      <c r="M80" t="e">
        <f t="shared" si="8"/>
        <v>#DIV/0!</v>
      </c>
      <c r="N80">
        <v>244</v>
      </c>
      <c r="O80">
        <v>238</v>
      </c>
      <c r="Q80">
        <f t="shared" si="9"/>
        <v>241</v>
      </c>
      <c r="R80">
        <v>0.5</v>
      </c>
      <c r="S80">
        <v>0.4</v>
      </c>
      <c r="U80">
        <f t="shared" si="10"/>
        <v>0.45</v>
      </c>
      <c r="V80">
        <v>56</v>
      </c>
      <c r="X80">
        <f t="shared" si="11"/>
        <v>56</v>
      </c>
    </row>
    <row r="81" spans="1:24" x14ac:dyDescent="0.2">
      <c r="A81">
        <v>4897</v>
      </c>
      <c r="B81" s="3"/>
      <c r="F81" t="e">
        <f t="shared" si="6"/>
        <v>#DIV/0!</v>
      </c>
      <c r="J81" t="e">
        <f t="shared" si="7"/>
        <v>#DIV/0!</v>
      </c>
      <c r="M81" t="e">
        <f t="shared" si="8"/>
        <v>#DIV/0!</v>
      </c>
      <c r="N81">
        <v>195</v>
      </c>
      <c r="O81">
        <v>207</v>
      </c>
      <c r="Q81">
        <f t="shared" si="9"/>
        <v>201</v>
      </c>
      <c r="R81">
        <v>0.3</v>
      </c>
      <c r="S81">
        <v>0.4</v>
      </c>
      <c r="U81">
        <f t="shared" si="10"/>
        <v>0.35</v>
      </c>
    </row>
    <row r="82" spans="1:24" x14ac:dyDescent="0.2">
      <c r="A82">
        <v>4898</v>
      </c>
      <c r="B82" s="8">
        <v>45739</v>
      </c>
      <c r="C82">
        <v>170</v>
      </c>
      <c r="D82">
        <v>165</v>
      </c>
      <c r="F82">
        <f t="shared" si="6"/>
        <v>167.5</v>
      </c>
      <c r="G82">
        <v>0.3</v>
      </c>
      <c r="H82">
        <v>0.3</v>
      </c>
      <c r="J82">
        <f t="shared" si="7"/>
        <v>0.3</v>
      </c>
      <c r="K82">
        <v>64</v>
      </c>
      <c r="L82">
        <v>63</v>
      </c>
      <c r="M82">
        <f t="shared" si="8"/>
        <v>63.5</v>
      </c>
      <c r="N82">
        <v>197</v>
      </c>
      <c r="O82">
        <v>217</v>
      </c>
      <c r="Q82">
        <f t="shared" si="9"/>
        <v>207</v>
      </c>
      <c r="R82">
        <v>0.4</v>
      </c>
      <c r="S82">
        <v>0.3</v>
      </c>
      <c r="U82">
        <f t="shared" si="10"/>
        <v>0.35</v>
      </c>
      <c r="V82">
        <v>46</v>
      </c>
      <c r="X82">
        <f t="shared" si="11"/>
        <v>46</v>
      </c>
    </row>
    <row r="83" spans="1:24" x14ac:dyDescent="0.2">
      <c r="A83">
        <v>4899</v>
      </c>
      <c r="B83" s="8">
        <v>45751</v>
      </c>
      <c r="C83">
        <v>205</v>
      </c>
      <c r="D83">
        <v>187</v>
      </c>
      <c r="F83">
        <f t="shared" si="6"/>
        <v>196</v>
      </c>
      <c r="G83">
        <v>0.2</v>
      </c>
      <c r="H83">
        <v>0.2</v>
      </c>
      <c r="J83">
        <f t="shared" si="7"/>
        <v>0.2</v>
      </c>
      <c r="N83">
        <v>189</v>
      </c>
      <c r="O83">
        <v>198</v>
      </c>
      <c r="Q83">
        <f t="shared" si="9"/>
        <v>193.5</v>
      </c>
      <c r="R83">
        <v>0.4</v>
      </c>
      <c r="S83">
        <v>0.4</v>
      </c>
      <c r="U83">
        <f t="shared" si="10"/>
        <v>0.4</v>
      </c>
      <c r="V83">
        <v>58</v>
      </c>
      <c r="W83">
        <v>46</v>
      </c>
      <c r="X83">
        <f t="shared" si="11"/>
        <v>52</v>
      </c>
    </row>
    <row r="84" spans="1:24" x14ac:dyDescent="0.2">
      <c r="A84">
        <v>4900</v>
      </c>
      <c r="B84" s="8">
        <v>45741</v>
      </c>
      <c r="C84">
        <v>162</v>
      </c>
      <c r="D84">
        <v>149</v>
      </c>
      <c r="F84">
        <f t="shared" si="6"/>
        <v>155.5</v>
      </c>
      <c r="G84">
        <v>0.4</v>
      </c>
      <c r="H84">
        <v>0.3</v>
      </c>
      <c r="J84">
        <f t="shared" si="7"/>
        <v>0.35</v>
      </c>
      <c r="K84">
        <v>63</v>
      </c>
      <c r="L84">
        <v>62</v>
      </c>
      <c r="M84">
        <f t="shared" si="8"/>
        <v>62.5</v>
      </c>
      <c r="N84">
        <v>163</v>
      </c>
      <c r="O84">
        <v>159</v>
      </c>
      <c r="Q84">
        <f t="shared" si="9"/>
        <v>161</v>
      </c>
      <c r="R84">
        <v>0.5</v>
      </c>
      <c r="S84">
        <v>0.6</v>
      </c>
      <c r="U84">
        <f t="shared" si="10"/>
        <v>0.55000000000000004</v>
      </c>
      <c r="V84">
        <v>62</v>
      </c>
      <c r="W84">
        <v>60</v>
      </c>
      <c r="X84">
        <f t="shared" si="11"/>
        <v>61</v>
      </c>
    </row>
    <row r="85" spans="1:24" x14ac:dyDescent="0.2">
      <c r="A85">
        <v>4901</v>
      </c>
      <c r="B85" s="8">
        <v>45750</v>
      </c>
      <c r="C85">
        <v>228</v>
      </c>
      <c r="D85">
        <v>236</v>
      </c>
      <c r="F85">
        <f t="shared" si="6"/>
        <v>232</v>
      </c>
      <c r="G85">
        <v>0.6</v>
      </c>
      <c r="H85">
        <v>0.5</v>
      </c>
      <c r="J85">
        <f t="shared" si="7"/>
        <v>0.55000000000000004</v>
      </c>
      <c r="K85">
        <v>54</v>
      </c>
      <c r="L85">
        <v>54</v>
      </c>
      <c r="M85">
        <f t="shared" si="8"/>
        <v>54</v>
      </c>
      <c r="N85">
        <v>286</v>
      </c>
      <c r="O85">
        <v>278</v>
      </c>
      <c r="Q85">
        <f t="shared" si="9"/>
        <v>282</v>
      </c>
      <c r="R85">
        <v>0.7</v>
      </c>
      <c r="U85">
        <f t="shared" si="10"/>
        <v>0.7</v>
      </c>
      <c r="V85">
        <v>56</v>
      </c>
      <c r="X85">
        <f t="shared" si="11"/>
        <v>56</v>
      </c>
    </row>
    <row r="86" spans="1:24" x14ac:dyDescent="0.2">
      <c r="A86">
        <v>4902</v>
      </c>
      <c r="B86" s="3">
        <v>45740</v>
      </c>
      <c r="C86">
        <v>210</v>
      </c>
      <c r="D86">
        <v>207</v>
      </c>
      <c r="F86">
        <f t="shared" si="6"/>
        <v>208.5</v>
      </c>
      <c r="G86">
        <v>0.4</v>
      </c>
      <c r="H86">
        <v>0.7</v>
      </c>
      <c r="J86">
        <f t="shared" si="7"/>
        <v>0.55000000000000004</v>
      </c>
      <c r="K86">
        <v>57</v>
      </c>
      <c r="L86">
        <v>54</v>
      </c>
      <c r="M86">
        <f t="shared" si="8"/>
        <v>55.5</v>
      </c>
      <c r="N86">
        <v>178</v>
      </c>
      <c r="O86">
        <v>159</v>
      </c>
      <c r="P86">
        <v>222</v>
      </c>
      <c r="Q86">
        <f t="shared" si="9"/>
        <v>186.33333333333334</v>
      </c>
      <c r="R86">
        <v>0.4</v>
      </c>
      <c r="S86">
        <v>0.5</v>
      </c>
      <c r="U86">
        <f t="shared" si="10"/>
        <v>0.45</v>
      </c>
      <c r="W86">
        <v>48</v>
      </c>
      <c r="X86">
        <f t="shared" si="11"/>
        <v>48</v>
      </c>
    </row>
    <row r="87" spans="1:24" x14ac:dyDescent="0.2">
      <c r="A87">
        <v>4903</v>
      </c>
      <c r="B87" s="3">
        <v>45741</v>
      </c>
      <c r="C87">
        <v>197</v>
      </c>
      <c r="D87">
        <v>196</v>
      </c>
      <c r="F87">
        <f t="shared" si="6"/>
        <v>196.5</v>
      </c>
      <c r="G87">
        <v>0.3</v>
      </c>
      <c r="H87">
        <v>0.4</v>
      </c>
      <c r="J87">
        <f t="shared" si="7"/>
        <v>0.35</v>
      </c>
      <c r="K87">
        <v>60</v>
      </c>
      <c r="L87">
        <v>60</v>
      </c>
      <c r="M87">
        <f t="shared" si="8"/>
        <v>60</v>
      </c>
      <c r="N87">
        <v>211</v>
      </c>
      <c r="O87">
        <v>218</v>
      </c>
      <c r="Q87">
        <f t="shared" si="9"/>
        <v>214.5</v>
      </c>
      <c r="R87">
        <v>0.3</v>
      </c>
      <c r="S87">
        <v>0.3</v>
      </c>
      <c r="U87">
        <f t="shared" si="10"/>
        <v>0.3</v>
      </c>
      <c r="V87">
        <v>58</v>
      </c>
      <c r="X87">
        <f t="shared" si="11"/>
        <v>58</v>
      </c>
    </row>
    <row r="88" spans="1:24" x14ac:dyDescent="0.2">
      <c r="A88">
        <v>4904</v>
      </c>
      <c r="B88" s="3">
        <v>45743</v>
      </c>
      <c r="K88">
        <v>64</v>
      </c>
      <c r="L88">
        <v>64</v>
      </c>
      <c r="M88">
        <f t="shared" si="8"/>
        <v>64</v>
      </c>
      <c r="N88">
        <v>187</v>
      </c>
      <c r="O88">
        <v>169</v>
      </c>
      <c r="Q88">
        <f t="shared" si="9"/>
        <v>178</v>
      </c>
      <c r="R88">
        <v>0.3</v>
      </c>
      <c r="S88">
        <v>0.5</v>
      </c>
      <c r="U88">
        <f t="shared" si="10"/>
        <v>0.4</v>
      </c>
      <c r="V88">
        <v>64</v>
      </c>
      <c r="X88">
        <f t="shared" si="11"/>
        <v>64</v>
      </c>
    </row>
    <row r="89" spans="1:24" x14ac:dyDescent="0.2">
      <c r="A89">
        <v>4905</v>
      </c>
      <c r="B89" s="3">
        <v>45738</v>
      </c>
      <c r="C89">
        <v>452</v>
      </c>
      <c r="D89">
        <v>426</v>
      </c>
      <c r="F89">
        <f t="shared" si="6"/>
        <v>439</v>
      </c>
      <c r="G89">
        <v>0.3</v>
      </c>
      <c r="J89">
        <f t="shared" si="7"/>
        <v>0.3</v>
      </c>
      <c r="K89">
        <v>60</v>
      </c>
      <c r="L89">
        <v>62</v>
      </c>
      <c r="M89">
        <f t="shared" si="8"/>
        <v>61</v>
      </c>
      <c r="N89">
        <v>223</v>
      </c>
      <c r="O89">
        <v>223</v>
      </c>
      <c r="Q89">
        <f t="shared" si="9"/>
        <v>223</v>
      </c>
      <c r="R89">
        <v>0.4</v>
      </c>
      <c r="U89">
        <f t="shared" si="10"/>
        <v>0.4</v>
      </c>
      <c r="V89">
        <v>58</v>
      </c>
      <c r="X89">
        <f t="shared" si="11"/>
        <v>58</v>
      </c>
    </row>
    <row r="90" spans="1:24" x14ac:dyDescent="0.2">
      <c r="A90">
        <v>4906</v>
      </c>
      <c r="B90" s="3">
        <v>45755</v>
      </c>
      <c r="F90" t="s">
        <v>140</v>
      </c>
      <c r="J90" t="s">
        <v>140</v>
      </c>
      <c r="M90" t="s">
        <v>140</v>
      </c>
      <c r="N90">
        <v>213</v>
      </c>
      <c r="Q90">
        <f>AVERAGE(N90:P90)</f>
        <v>213</v>
      </c>
      <c r="R90">
        <v>0.6</v>
      </c>
      <c r="S90">
        <v>0.7</v>
      </c>
      <c r="U90">
        <f t="shared" si="10"/>
        <v>0.64999999999999991</v>
      </c>
      <c r="V90">
        <v>48</v>
      </c>
      <c r="X90">
        <f t="shared" si="11"/>
        <v>48</v>
      </c>
    </row>
    <row r="91" spans="1:24" x14ac:dyDescent="0.2">
      <c r="A91">
        <v>4907</v>
      </c>
      <c r="F91" t="e">
        <f t="shared" si="6"/>
        <v>#DIV/0!</v>
      </c>
      <c r="J91" t="e">
        <f t="shared" si="7"/>
        <v>#DIV/0!</v>
      </c>
      <c r="M91" t="e">
        <f t="shared" si="8"/>
        <v>#DIV/0!</v>
      </c>
      <c r="Q91" t="e">
        <f t="shared" si="9"/>
        <v>#DIV/0!</v>
      </c>
      <c r="U91" t="e">
        <f t="shared" si="10"/>
        <v>#DIV/0!</v>
      </c>
      <c r="X91" t="e">
        <f t="shared" si="11"/>
        <v>#DIV/0!</v>
      </c>
    </row>
    <row r="92" spans="1:24" x14ac:dyDescent="0.2">
      <c r="A92">
        <v>4908</v>
      </c>
      <c r="B92" s="3">
        <v>45744</v>
      </c>
      <c r="C92">
        <v>269</v>
      </c>
      <c r="D92">
        <v>273</v>
      </c>
      <c r="F92">
        <f t="shared" si="6"/>
        <v>271</v>
      </c>
      <c r="G92">
        <v>0.8</v>
      </c>
      <c r="H92">
        <v>0.8</v>
      </c>
      <c r="J92">
        <f t="shared" si="7"/>
        <v>0.8</v>
      </c>
      <c r="N92">
        <v>213</v>
      </c>
      <c r="O92">
        <v>199</v>
      </c>
      <c r="Q92">
        <f t="shared" si="9"/>
        <v>206</v>
      </c>
      <c r="R92">
        <v>0.4</v>
      </c>
      <c r="U92">
        <f t="shared" si="10"/>
        <v>0.4</v>
      </c>
      <c r="V92">
        <v>58</v>
      </c>
      <c r="W92">
        <v>62</v>
      </c>
      <c r="X92">
        <f t="shared" si="11"/>
        <v>60</v>
      </c>
    </row>
    <row r="93" spans="1:24" x14ac:dyDescent="0.2">
      <c r="A93">
        <v>4909</v>
      </c>
      <c r="B93" s="8">
        <v>45745</v>
      </c>
      <c r="C93">
        <v>205</v>
      </c>
      <c r="F93">
        <f t="shared" si="6"/>
        <v>205</v>
      </c>
      <c r="G93">
        <v>0.6</v>
      </c>
      <c r="J93">
        <f t="shared" si="7"/>
        <v>0.6</v>
      </c>
      <c r="K93">
        <v>60</v>
      </c>
      <c r="M93">
        <f t="shared" si="8"/>
        <v>60</v>
      </c>
      <c r="N93">
        <v>226</v>
      </c>
      <c r="Q93">
        <f t="shared" si="9"/>
        <v>226</v>
      </c>
      <c r="R93">
        <v>0.6</v>
      </c>
      <c r="U93">
        <f t="shared" si="10"/>
        <v>0.6</v>
      </c>
      <c r="X93" t="e">
        <f t="shared" si="11"/>
        <v>#DIV/0!</v>
      </c>
    </row>
    <row r="94" spans="1:24" x14ac:dyDescent="0.2">
      <c r="A94">
        <v>4910</v>
      </c>
      <c r="B94" s="3">
        <v>45747</v>
      </c>
      <c r="C94">
        <v>195</v>
      </c>
      <c r="D94">
        <v>181</v>
      </c>
      <c r="F94">
        <f t="shared" si="6"/>
        <v>188</v>
      </c>
      <c r="G94">
        <v>0.7</v>
      </c>
      <c r="J94">
        <f t="shared" si="7"/>
        <v>0.7</v>
      </c>
      <c r="K94">
        <v>63</v>
      </c>
      <c r="L94">
        <v>61</v>
      </c>
      <c r="M94">
        <f t="shared" si="8"/>
        <v>62</v>
      </c>
      <c r="N94">
        <v>178</v>
      </c>
      <c r="O94">
        <v>192</v>
      </c>
      <c r="Q94">
        <f t="shared" si="9"/>
        <v>185</v>
      </c>
      <c r="R94">
        <v>0.7</v>
      </c>
      <c r="S94">
        <v>0.6</v>
      </c>
      <c r="U94">
        <f t="shared" si="10"/>
        <v>0.64999999999999991</v>
      </c>
      <c r="V94">
        <v>63</v>
      </c>
      <c r="W94">
        <v>62</v>
      </c>
      <c r="X94">
        <f t="shared" si="11"/>
        <v>62.5</v>
      </c>
    </row>
    <row r="95" spans="1:24" x14ac:dyDescent="0.2">
      <c r="A95">
        <v>4911</v>
      </c>
      <c r="B95" s="3">
        <v>45749</v>
      </c>
      <c r="C95">
        <v>155</v>
      </c>
      <c r="D95">
        <v>164</v>
      </c>
      <c r="F95">
        <f t="shared" si="6"/>
        <v>159.5</v>
      </c>
      <c r="G95">
        <v>0.4</v>
      </c>
      <c r="H95">
        <v>0.5</v>
      </c>
      <c r="J95">
        <f t="shared" si="7"/>
        <v>0.45</v>
      </c>
      <c r="K95">
        <v>63</v>
      </c>
      <c r="M95">
        <f t="shared" si="8"/>
        <v>63</v>
      </c>
      <c r="N95">
        <v>187</v>
      </c>
      <c r="O95">
        <v>184</v>
      </c>
      <c r="Q95">
        <f t="shared" si="9"/>
        <v>185.5</v>
      </c>
      <c r="R95">
        <v>0.4</v>
      </c>
      <c r="S95">
        <v>0.4</v>
      </c>
      <c r="U95">
        <f t="shared" si="10"/>
        <v>0.4</v>
      </c>
      <c r="V95">
        <v>60</v>
      </c>
      <c r="W95">
        <v>58</v>
      </c>
      <c r="X95">
        <f t="shared" si="11"/>
        <v>59</v>
      </c>
    </row>
    <row r="96" spans="1:24" x14ac:dyDescent="0.2">
      <c r="A96">
        <v>4912</v>
      </c>
      <c r="B96" s="3">
        <v>45746</v>
      </c>
      <c r="C96">
        <v>199</v>
      </c>
      <c r="D96">
        <v>218</v>
      </c>
      <c r="F96">
        <f t="shared" si="6"/>
        <v>208.5</v>
      </c>
      <c r="G96">
        <v>1.2</v>
      </c>
      <c r="H96">
        <v>1.2</v>
      </c>
      <c r="J96">
        <f t="shared" si="7"/>
        <v>1.2</v>
      </c>
      <c r="K96">
        <v>60</v>
      </c>
      <c r="L96">
        <v>57</v>
      </c>
      <c r="M96">
        <f t="shared" si="8"/>
        <v>58.5</v>
      </c>
      <c r="N96">
        <v>182</v>
      </c>
      <c r="O96">
        <v>186</v>
      </c>
      <c r="Q96">
        <f t="shared" si="9"/>
        <v>184</v>
      </c>
      <c r="R96">
        <v>0.4</v>
      </c>
      <c r="S96">
        <v>0.4</v>
      </c>
      <c r="U96">
        <f t="shared" si="10"/>
        <v>0.4</v>
      </c>
      <c r="V96">
        <v>61</v>
      </c>
      <c r="W96">
        <v>60</v>
      </c>
      <c r="X96">
        <f t="shared" si="11"/>
        <v>60.5</v>
      </c>
    </row>
    <row r="97" spans="1:24" x14ac:dyDescent="0.2">
      <c r="A97">
        <v>4913</v>
      </c>
      <c r="B97" s="3">
        <v>45748</v>
      </c>
      <c r="C97">
        <v>181</v>
      </c>
      <c r="D97">
        <v>166</v>
      </c>
      <c r="F97">
        <f t="shared" si="6"/>
        <v>173.5</v>
      </c>
      <c r="G97">
        <v>0.2</v>
      </c>
      <c r="H97">
        <v>0.3</v>
      </c>
      <c r="J97">
        <f t="shared" si="7"/>
        <v>0.25</v>
      </c>
      <c r="K97">
        <v>58</v>
      </c>
      <c r="L97">
        <v>54</v>
      </c>
      <c r="M97">
        <f t="shared" si="8"/>
        <v>56</v>
      </c>
      <c r="N97">
        <v>200</v>
      </c>
      <c r="O97">
        <v>202</v>
      </c>
      <c r="Q97">
        <f t="shared" si="9"/>
        <v>201</v>
      </c>
      <c r="R97">
        <v>0.3</v>
      </c>
      <c r="T97">
        <v>0.4</v>
      </c>
      <c r="U97">
        <f t="shared" si="10"/>
        <v>0.35</v>
      </c>
      <c r="V97">
        <v>56</v>
      </c>
      <c r="W97">
        <v>56</v>
      </c>
      <c r="X97">
        <f t="shared" si="11"/>
        <v>56</v>
      </c>
    </row>
    <row r="98" spans="1:24" x14ac:dyDescent="0.2">
      <c r="A98">
        <v>4914</v>
      </c>
      <c r="F98" t="e">
        <f t="shared" si="6"/>
        <v>#DIV/0!</v>
      </c>
      <c r="J98" t="e">
        <f t="shared" si="7"/>
        <v>#DIV/0!</v>
      </c>
      <c r="M98" t="e">
        <f t="shared" si="8"/>
        <v>#DIV/0!</v>
      </c>
      <c r="Q98" t="e">
        <f t="shared" si="9"/>
        <v>#DIV/0!</v>
      </c>
      <c r="U98" t="e">
        <f t="shared" si="10"/>
        <v>#DIV/0!</v>
      </c>
      <c r="X98" t="e">
        <f t="shared" si="11"/>
        <v>#DIV/0!</v>
      </c>
    </row>
    <row r="99" spans="1:24" x14ac:dyDescent="0.2">
      <c r="A99">
        <v>4915</v>
      </c>
      <c r="B99" s="8">
        <v>45752</v>
      </c>
      <c r="C99">
        <v>147</v>
      </c>
      <c r="D99">
        <v>135</v>
      </c>
      <c r="F99">
        <f t="shared" si="6"/>
        <v>141</v>
      </c>
      <c r="G99">
        <v>0.5</v>
      </c>
      <c r="H99">
        <v>0.4</v>
      </c>
      <c r="J99">
        <f t="shared" si="7"/>
        <v>0.45</v>
      </c>
      <c r="K99">
        <v>62</v>
      </c>
      <c r="L99">
        <v>60</v>
      </c>
      <c r="M99">
        <f t="shared" si="8"/>
        <v>61</v>
      </c>
      <c r="N99">
        <v>196</v>
      </c>
      <c r="O99">
        <v>191</v>
      </c>
      <c r="Q99">
        <f t="shared" si="9"/>
        <v>193.5</v>
      </c>
      <c r="R99">
        <v>0.4</v>
      </c>
      <c r="S99">
        <v>0.4</v>
      </c>
      <c r="U99">
        <f t="shared" si="10"/>
        <v>0.4</v>
      </c>
      <c r="V99">
        <v>56</v>
      </c>
      <c r="X99">
        <f t="shared" si="11"/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B7551-1B4F-294F-9DA7-D2D79E393A31}">
  <dimension ref="A1:L93"/>
  <sheetViews>
    <sheetView workbookViewId="0">
      <selection activeCell="L2" sqref="L2:L93"/>
    </sheetView>
  </sheetViews>
  <sheetFormatPr baseColWidth="10" defaultRowHeight="16" x14ac:dyDescent="0.2"/>
  <sheetData>
    <row r="1" spans="1:12" x14ac:dyDescent="0.2">
      <c r="H1" t="s">
        <v>52</v>
      </c>
      <c r="I1" t="s">
        <v>0</v>
      </c>
      <c r="J1" t="s">
        <v>1</v>
      </c>
      <c r="K1" t="s">
        <v>143</v>
      </c>
      <c r="L1" t="s">
        <v>144</v>
      </c>
    </row>
    <row r="2" spans="1:12" x14ac:dyDescent="0.2">
      <c r="A2">
        <v>4818</v>
      </c>
      <c r="B2" t="s">
        <v>141</v>
      </c>
      <c r="C2" t="s">
        <v>2</v>
      </c>
      <c r="D2" t="s">
        <v>145</v>
      </c>
      <c r="E2">
        <v>123</v>
      </c>
      <c r="H2">
        <v>4818</v>
      </c>
      <c r="I2" t="s">
        <v>11</v>
      </c>
      <c r="J2" t="s">
        <v>2</v>
      </c>
      <c r="K2" s="4">
        <v>1.5693874999999999</v>
      </c>
      <c r="L2">
        <v>0.53481250000000002</v>
      </c>
    </row>
    <row r="3" spans="1:12" x14ac:dyDescent="0.2">
      <c r="A3">
        <v>4819</v>
      </c>
      <c r="B3" t="s">
        <v>141</v>
      </c>
      <c r="C3" t="s">
        <v>2</v>
      </c>
      <c r="D3" t="s">
        <v>145</v>
      </c>
      <c r="E3">
        <v>25</v>
      </c>
      <c r="H3">
        <v>4819</v>
      </c>
      <c r="I3" t="s">
        <v>11</v>
      </c>
      <c r="J3" t="s">
        <v>2</v>
      </c>
      <c r="K3" s="4">
        <v>1.560331E-2</v>
      </c>
      <c r="L3">
        <v>1.3400874999999999</v>
      </c>
    </row>
    <row r="4" spans="1:12" x14ac:dyDescent="0.2">
      <c r="A4">
        <v>4820</v>
      </c>
      <c r="B4" t="s">
        <v>141</v>
      </c>
      <c r="C4" t="s">
        <v>2</v>
      </c>
      <c r="D4" t="s">
        <v>145</v>
      </c>
      <c r="E4">
        <v>54</v>
      </c>
      <c r="H4">
        <v>4820</v>
      </c>
      <c r="I4" t="s">
        <v>11</v>
      </c>
      <c r="J4" t="s">
        <v>2</v>
      </c>
      <c r="K4" s="4">
        <v>2.1747375</v>
      </c>
      <c r="L4">
        <v>2.5804500000000004</v>
      </c>
    </row>
    <row r="5" spans="1:12" x14ac:dyDescent="0.2">
      <c r="A5">
        <v>4822</v>
      </c>
      <c r="B5" t="s">
        <v>141</v>
      </c>
      <c r="C5" t="s">
        <v>2</v>
      </c>
      <c r="D5" t="s">
        <v>145</v>
      </c>
      <c r="E5">
        <v>44</v>
      </c>
      <c r="H5">
        <v>4821</v>
      </c>
      <c r="I5" t="s">
        <v>11</v>
      </c>
      <c r="K5" s="4">
        <v>0.92542500000000005</v>
      </c>
    </row>
    <row r="6" spans="1:12" x14ac:dyDescent="0.2">
      <c r="A6">
        <v>4823</v>
      </c>
      <c r="B6" t="s">
        <v>141</v>
      </c>
      <c r="C6" t="s">
        <v>3</v>
      </c>
      <c r="D6" t="s">
        <v>145</v>
      </c>
      <c r="E6">
        <v>111</v>
      </c>
      <c r="H6">
        <v>4822</v>
      </c>
      <c r="I6" t="s">
        <v>11</v>
      </c>
      <c r="J6" t="s">
        <v>3</v>
      </c>
      <c r="K6" s="4">
        <v>0.64023750000000001</v>
      </c>
      <c r="L6">
        <v>2.479225</v>
      </c>
    </row>
    <row r="7" spans="1:12" x14ac:dyDescent="0.2">
      <c r="A7">
        <v>4824</v>
      </c>
      <c r="B7" t="s">
        <v>141</v>
      </c>
      <c r="C7" t="s">
        <v>3</v>
      </c>
      <c r="D7" t="s">
        <v>145</v>
      </c>
      <c r="E7">
        <v>17</v>
      </c>
      <c r="H7">
        <v>4823</v>
      </c>
      <c r="I7" t="s">
        <v>11</v>
      </c>
      <c r="J7" t="s">
        <v>3</v>
      </c>
      <c r="K7" s="4">
        <v>0.70256249999999998</v>
      </c>
      <c r="L7">
        <v>1.1008624999999999</v>
      </c>
    </row>
    <row r="8" spans="1:12" x14ac:dyDescent="0.2">
      <c r="A8">
        <v>4825</v>
      </c>
      <c r="B8" t="s">
        <v>141</v>
      </c>
      <c r="C8" t="s">
        <v>3</v>
      </c>
      <c r="D8" t="s">
        <v>145</v>
      </c>
      <c r="E8">
        <v>84</v>
      </c>
      <c r="H8">
        <v>4824</v>
      </c>
      <c r="I8" t="s">
        <v>11</v>
      </c>
      <c r="J8" t="s">
        <v>3</v>
      </c>
      <c r="K8" s="4">
        <v>1.9456249999999999</v>
      </c>
      <c r="L8">
        <v>4.4021875000000001</v>
      </c>
    </row>
    <row r="9" spans="1:12" x14ac:dyDescent="0.2">
      <c r="A9">
        <v>4826</v>
      </c>
      <c r="B9" t="s">
        <v>141</v>
      </c>
      <c r="C9" t="s">
        <v>2</v>
      </c>
      <c r="D9" t="s">
        <v>145</v>
      </c>
      <c r="E9">
        <v>121</v>
      </c>
      <c r="H9">
        <v>4825</v>
      </c>
      <c r="I9" t="s">
        <v>11</v>
      </c>
      <c r="J9" t="s">
        <v>3</v>
      </c>
      <c r="K9" s="4">
        <v>1.6973875</v>
      </c>
      <c r="L9">
        <v>2.7062124999999999</v>
      </c>
    </row>
    <row r="10" spans="1:12" x14ac:dyDescent="0.2">
      <c r="A10">
        <v>4830</v>
      </c>
      <c r="B10" t="s">
        <v>141</v>
      </c>
      <c r="C10" t="s">
        <v>3</v>
      </c>
      <c r="D10" t="s">
        <v>145</v>
      </c>
      <c r="E10">
        <v>63</v>
      </c>
      <c r="H10">
        <v>4826</v>
      </c>
      <c r="I10" t="s">
        <v>11</v>
      </c>
      <c r="J10" t="s">
        <v>2</v>
      </c>
      <c r="K10" s="4">
        <v>1.3126625000000001</v>
      </c>
      <c r="L10">
        <v>4.3848374999999997</v>
      </c>
    </row>
    <row r="11" spans="1:12" x14ac:dyDescent="0.2">
      <c r="A11">
        <v>4831</v>
      </c>
      <c r="B11" t="s">
        <v>141</v>
      </c>
      <c r="C11" t="s">
        <v>2</v>
      </c>
      <c r="D11" t="s">
        <v>145</v>
      </c>
      <c r="E11">
        <v>109</v>
      </c>
      <c r="H11">
        <v>4827</v>
      </c>
      <c r="I11" t="s">
        <v>11</v>
      </c>
      <c r="J11" t="s">
        <v>3</v>
      </c>
      <c r="K11" s="4">
        <v>2.8849499999999999</v>
      </c>
    </row>
    <row r="12" spans="1:12" x14ac:dyDescent="0.2">
      <c r="A12">
        <v>4832</v>
      </c>
      <c r="B12" t="s">
        <v>141</v>
      </c>
      <c r="C12" t="s">
        <v>2</v>
      </c>
      <c r="D12" t="s">
        <v>145</v>
      </c>
      <c r="E12">
        <v>79</v>
      </c>
      <c r="H12">
        <v>4828</v>
      </c>
      <c r="I12" t="s">
        <v>11</v>
      </c>
      <c r="K12" s="4">
        <v>0.96484999999999999</v>
      </c>
    </row>
    <row r="13" spans="1:12" x14ac:dyDescent="0.2">
      <c r="A13">
        <v>4833</v>
      </c>
      <c r="B13" t="s">
        <v>141</v>
      </c>
      <c r="C13" t="s">
        <v>2</v>
      </c>
      <c r="D13" t="s">
        <v>145</v>
      </c>
      <c r="E13">
        <v>81</v>
      </c>
      <c r="H13">
        <v>4829</v>
      </c>
      <c r="I13" t="s">
        <v>11</v>
      </c>
      <c r="J13" t="s">
        <v>3</v>
      </c>
    </row>
    <row r="14" spans="1:12" x14ac:dyDescent="0.2">
      <c r="A14">
        <v>4835</v>
      </c>
      <c r="B14" t="s">
        <v>141</v>
      </c>
      <c r="C14" t="s">
        <v>3</v>
      </c>
      <c r="D14" t="s">
        <v>145</v>
      </c>
      <c r="E14">
        <v>42</v>
      </c>
      <c r="H14">
        <v>4830</v>
      </c>
      <c r="I14" t="s">
        <v>11</v>
      </c>
      <c r="J14" t="s">
        <v>3</v>
      </c>
      <c r="K14" s="4">
        <v>0.65133750000000001</v>
      </c>
      <c r="L14">
        <v>6.9507625000000006</v>
      </c>
    </row>
    <row r="15" spans="1:12" x14ac:dyDescent="0.2">
      <c r="A15">
        <v>4838</v>
      </c>
      <c r="B15" t="s">
        <v>141</v>
      </c>
      <c r="C15" t="s">
        <v>2</v>
      </c>
      <c r="D15" t="s">
        <v>145</v>
      </c>
      <c r="E15">
        <v>24</v>
      </c>
      <c r="H15">
        <v>4831</v>
      </c>
      <c r="I15" t="s">
        <v>11</v>
      </c>
      <c r="J15" t="s">
        <v>2</v>
      </c>
      <c r="K15" s="4">
        <v>1.4191</v>
      </c>
      <c r="L15">
        <v>2.3150875000000002</v>
      </c>
    </row>
    <row r="16" spans="1:12" x14ac:dyDescent="0.2">
      <c r="A16">
        <v>4840</v>
      </c>
      <c r="B16" t="s">
        <v>141</v>
      </c>
      <c r="C16" t="s">
        <v>3</v>
      </c>
      <c r="D16" t="s">
        <v>145</v>
      </c>
      <c r="E16">
        <v>15</v>
      </c>
      <c r="H16">
        <v>4832</v>
      </c>
      <c r="I16" t="s">
        <v>11</v>
      </c>
      <c r="J16" t="s">
        <v>2</v>
      </c>
      <c r="K16" s="4">
        <v>0.54796250000000002</v>
      </c>
      <c r="L16">
        <v>0.56542500000000007</v>
      </c>
    </row>
    <row r="17" spans="1:12" x14ac:dyDescent="0.2">
      <c r="A17">
        <v>4841</v>
      </c>
      <c r="B17" t="s">
        <v>141</v>
      </c>
      <c r="C17" t="s">
        <v>3</v>
      </c>
      <c r="D17" t="s">
        <v>145</v>
      </c>
      <c r="E17">
        <v>117</v>
      </c>
      <c r="H17">
        <v>4833</v>
      </c>
      <c r="I17" t="s">
        <v>11</v>
      </c>
      <c r="J17" t="s">
        <v>2</v>
      </c>
      <c r="K17" s="4">
        <v>1.14425</v>
      </c>
      <c r="L17">
        <v>0.76126250000000006</v>
      </c>
    </row>
    <row r="18" spans="1:12" x14ac:dyDescent="0.2">
      <c r="A18">
        <v>4843</v>
      </c>
      <c r="B18" t="s">
        <v>142</v>
      </c>
      <c r="C18" t="s">
        <v>2</v>
      </c>
      <c r="D18" t="s">
        <v>145</v>
      </c>
      <c r="E18">
        <v>155</v>
      </c>
      <c r="H18">
        <v>4834</v>
      </c>
      <c r="I18" t="s">
        <v>11</v>
      </c>
      <c r="J18" t="s">
        <v>3</v>
      </c>
      <c r="K18" s="4">
        <v>0.493475</v>
      </c>
    </row>
    <row r="19" spans="1:12" x14ac:dyDescent="0.2">
      <c r="A19">
        <v>4844</v>
      </c>
      <c r="B19" t="s">
        <v>142</v>
      </c>
      <c r="C19" t="s">
        <v>2</v>
      </c>
      <c r="D19" t="s">
        <v>145</v>
      </c>
      <c r="E19">
        <v>5</v>
      </c>
      <c r="H19">
        <v>4835</v>
      </c>
      <c r="I19" t="s">
        <v>11</v>
      </c>
      <c r="J19" t="s">
        <v>3</v>
      </c>
      <c r="K19" s="4">
        <v>0.29838750000000003</v>
      </c>
      <c r="L19">
        <v>2.7422374999999999</v>
      </c>
    </row>
    <row r="20" spans="1:12" x14ac:dyDescent="0.2">
      <c r="A20">
        <v>4845</v>
      </c>
      <c r="B20" t="s">
        <v>142</v>
      </c>
      <c r="C20" t="s">
        <v>2</v>
      </c>
      <c r="D20" t="s">
        <v>145</v>
      </c>
      <c r="E20">
        <v>116</v>
      </c>
      <c r="H20">
        <v>4837</v>
      </c>
      <c r="I20" t="s">
        <v>11</v>
      </c>
    </row>
    <row r="21" spans="1:12" x14ac:dyDescent="0.2">
      <c r="A21">
        <v>4846</v>
      </c>
      <c r="B21" t="s">
        <v>142</v>
      </c>
      <c r="C21" t="s">
        <v>3</v>
      </c>
      <c r="D21" t="s">
        <v>145</v>
      </c>
      <c r="E21">
        <v>71</v>
      </c>
      <c r="H21">
        <v>4838</v>
      </c>
      <c r="I21" t="s">
        <v>11</v>
      </c>
      <c r="J21" t="s">
        <v>2</v>
      </c>
      <c r="K21" s="4">
        <v>4.0103625000000003</v>
      </c>
      <c r="L21">
        <v>3.0700374999999998</v>
      </c>
    </row>
    <row r="22" spans="1:12" x14ac:dyDescent="0.2">
      <c r="A22">
        <v>4847</v>
      </c>
      <c r="B22" t="s">
        <v>142</v>
      </c>
      <c r="C22" t="s">
        <v>2</v>
      </c>
      <c r="D22" t="s">
        <v>145</v>
      </c>
      <c r="E22">
        <v>1</v>
      </c>
      <c r="H22">
        <v>4839</v>
      </c>
      <c r="I22" t="s">
        <v>11</v>
      </c>
    </row>
    <row r="23" spans="1:12" x14ac:dyDescent="0.2">
      <c r="A23">
        <v>4849</v>
      </c>
      <c r="B23" t="s">
        <v>142</v>
      </c>
      <c r="C23" t="s">
        <v>2</v>
      </c>
      <c r="D23" t="s">
        <v>145</v>
      </c>
      <c r="E23">
        <v>30</v>
      </c>
      <c r="H23">
        <v>4840</v>
      </c>
      <c r="I23" t="s">
        <v>11</v>
      </c>
      <c r="J23" t="s">
        <v>3</v>
      </c>
      <c r="K23" s="4">
        <v>0.39516250000000003</v>
      </c>
      <c r="L23">
        <v>12.7176875</v>
      </c>
    </row>
    <row r="24" spans="1:12" x14ac:dyDescent="0.2">
      <c r="A24">
        <v>4851</v>
      </c>
      <c r="B24" t="s">
        <v>142</v>
      </c>
      <c r="C24" t="s">
        <v>3</v>
      </c>
      <c r="D24" t="s">
        <v>145</v>
      </c>
      <c r="E24">
        <v>14</v>
      </c>
      <c r="H24">
        <v>4841</v>
      </c>
      <c r="I24" t="s">
        <v>11</v>
      </c>
      <c r="J24" t="s">
        <v>3</v>
      </c>
      <c r="K24" s="4">
        <v>0.70537499999999997</v>
      </c>
      <c r="L24">
        <v>5.6959125000000004</v>
      </c>
    </row>
    <row r="25" spans="1:12" x14ac:dyDescent="0.2">
      <c r="A25">
        <v>4852</v>
      </c>
      <c r="B25" t="s">
        <v>142</v>
      </c>
      <c r="C25" t="s">
        <v>3</v>
      </c>
      <c r="D25" t="s">
        <v>145</v>
      </c>
      <c r="E25">
        <v>149</v>
      </c>
      <c r="H25">
        <v>4842</v>
      </c>
      <c r="I25" t="s">
        <v>11</v>
      </c>
      <c r="J25" t="s">
        <v>3</v>
      </c>
      <c r="K25" s="4">
        <v>2.6025624999999999</v>
      </c>
    </row>
    <row r="26" spans="1:12" x14ac:dyDescent="0.2">
      <c r="A26">
        <v>4853</v>
      </c>
      <c r="B26" t="s">
        <v>142</v>
      </c>
      <c r="C26" t="s">
        <v>2</v>
      </c>
      <c r="D26" t="s">
        <v>145</v>
      </c>
      <c r="E26">
        <v>86</v>
      </c>
      <c r="H26">
        <v>4843</v>
      </c>
      <c r="I26" t="s">
        <v>15</v>
      </c>
      <c r="J26" t="s">
        <v>2</v>
      </c>
      <c r="K26" s="4">
        <v>2.7188750000000002</v>
      </c>
      <c r="L26">
        <v>0.55113750000000006</v>
      </c>
    </row>
    <row r="27" spans="1:12" x14ac:dyDescent="0.2">
      <c r="A27">
        <v>4854</v>
      </c>
      <c r="B27" t="s">
        <v>142</v>
      </c>
      <c r="C27" t="s">
        <v>3</v>
      </c>
      <c r="D27" t="s">
        <v>145</v>
      </c>
      <c r="E27">
        <v>13</v>
      </c>
      <c r="H27">
        <v>4844</v>
      </c>
      <c r="I27" t="s">
        <v>15</v>
      </c>
      <c r="J27" t="s">
        <v>2</v>
      </c>
      <c r="K27" s="4">
        <v>1.0388124999999999</v>
      </c>
      <c r="L27">
        <v>1.338125</v>
      </c>
    </row>
    <row r="28" spans="1:12" x14ac:dyDescent="0.2">
      <c r="A28">
        <v>4855</v>
      </c>
      <c r="B28" t="s">
        <v>142</v>
      </c>
      <c r="C28" t="s">
        <v>3</v>
      </c>
      <c r="D28" t="s">
        <v>145</v>
      </c>
      <c r="E28">
        <v>29</v>
      </c>
      <c r="H28">
        <v>4845</v>
      </c>
      <c r="I28" t="s">
        <v>15</v>
      </c>
      <c r="J28" t="s">
        <v>2</v>
      </c>
      <c r="K28" s="4">
        <v>0.43057499999999999</v>
      </c>
      <c r="L28">
        <v>1.9072375000000001</v>
      </c>
    </row>
    <row r="29" spans="1:12" x14ac:dyDescent="0.2">
      <c r="A29">
        <v>4856</v>
      </c>
      <c r="B29" t="s">
        <v>142</v>
      </c>
      <c r="C29" t="s">
        <v>2</v>
      </c>
      <c r="D29" t="s">
        <v>145</v>
      </c>
      <c r="E29">
        <v>104</v>
      </c>
      <c r="H29">
        <v>4846</v>
      </c>
      <c r="I29" t="s">
        <v>15</v>
      </c>
      <c r="J29" t="s">
        <v>3</v>
      </c>
      <c r="K29" s="4">
        <v>1.2694875000000001</v>
      </c>
      <c r="L29">
        <v>3.4136749999999996</v>
      </c>
    </row>
    <row r="30" spans="1:12" x14ac:dyDescent="0.2">
      <c r="A30">
        <v>4857</v>
      </c>
      <c r="B30" t="s">
        <v>142</v>
      </c>
      <c r="C30" t="s">
        <v>2</v>
      </c>
      <c r="D30" t="s">
        <v>145</v>
      </c>
      <c r="E30">
        <v>40</v>
      </c>
      <c r="H30">
        <v>4847</v>
      </c>
      <c r="I30" t="s">
        <v>15</v>
      </c>
      <c r="J30" t="s">
        <v>2</v>
      </c>
      <c r="K30" s="4">
        <v>4.5778875000000001</v>
      </c>
      <c r="L30">
        <v>0.32893749999999999</v>
      </c>
    </row>
    <row r="31" spans="1:12" x14ac:dyDescent="0.2">
      <c r="A31">
        <v>4858</v>
      </c>
      <c r="B31" t="s">
        <v>142</v>
      </c>
      <c r="C31" t="s">
        <v>3</v>
      </c>
      <c r="D31" t="s">
        <v>145</v>
      </c>
      <c r="E31">
        <v>35</v>
      </c>
      <c r="H31">
        <v>4848</v>
      </c>
      <c r="I31" t="s">
        <v>15</v>
      </c>
      <c r="J31" t="s">
        <v>3</v>
      </c>
      <c r="K31" s="4">
        <v>1.6933625000000001</v>
      </c>
    </row>
    <row r="32" spans="1:12" x14ac:dyDescent="0.2">
      <c r="A32">
        <v>4859</v>
      </c>
      <c r="B32" t="s">
        <v>142</v>
      </c>
      <c r="C32" t="s">
        <v>3</v>
      </c>
      <c r="D32" t="s">
        <v>145</v>
      </c>
      <c r="E32">
        <v>87</v>
      </c>
      <c r="H32">
        <v>4849</v>
      </c>
      <c r="I32" t="s">
        <v>15</v>
      </c>
      <c r="J32" t="s">
        <v>3</v>
      </c>
      <c r="K32" s="4">
        <v>1.2457</v>
      </c>
      <c r="L32">
        <v>1.1632875</v>
      </c>
    </row>
    <row r="33" spans="1:12" x14ac:dyDescent="0.2">
      <c r="A33">
        <v>4860</v>
      </c>
      <c r="B33" t="s">
        <v>142</v>
      </c>
      <c r="C33" t="s">
        <v>2</v>
      </c>
      <c r="D33" t="s">
        <v>145</v>
      </c>
      <c r="E33">
        <v>23</v>
      </c>
      <c r="H33">
        <v>4850</v>
      </c>
      <c r="I33" t="s">
        <v>15</v>
      </c>
    </row>
    <row r="34" spans="1:12" x14ac:dyDescent="0.2">
      <c r="A34">
        <v>4861</v>
      </c>
      <c r="B34" t="s">
        <v>142</v>
      </c>
      <c r="C34" t="s">
        <v>2</v>
      </c>
      <c r="D34" t="s">
        <v>145</v>
      </c>
      <c r="E34">
        <v>37</v>
      </c>
      <c r="H34">
        <v>4851</v>
      </c>
      <c r="I34" t="s">
        <v>15</v>
      </c>
      <c r="J34" t="s">
        <v>3</v>
      </c>
      <c r="K34" s="4">
        <v>2.9806625000000002</v>
      </c>
      <c r="L34">
        <v>0.1305625</v>
      </c>
    </row>
    <row r="35" spans="1:12" x14ac:dyDescent="0.2">
      <c r="A35">
        <v>4862</v>
      </c>
      <c r="B35" t="s">
        <v>142</v>
      </c>
      <c r="C35" t="s">
        <v>3</v>
      </c>
      <c r="D35" t="s">
        <v>145</v>
      </c>
      <c r="E35">
        <v>135</v>
      </c>
      <c r="H35">
        <v>4852</v>
      </c>
      <c r="I35" t="s">
        <v>15</v>
      </c>
      <c r="J35" t="s">
        <v>3</v>
      </c>
      <c r="K35" s="4">
        <v>3.1824374999999998</v>
      </c>
      <c r="L35">
        <v>6.2435375000000004</v>
      </c>
    </row>
    <row r="36" spans="1:12" x14ac:dyDescent="0.2">
      <c r="A36">
        <v>4864</v>
      </c>
      <c r="B36" t="s">
        <v>142</v>
      </c>
      <c r="C36" t="s">
        <v>2</v>
      </c>
      <c r="D36" t="s">
        <v>145</v>
      </c>
      <c r="E36">
        <v>27</v>
      </c>
      <c r="H36">
        <v>4853</v>
      </c>
      <c r="I36" t="s">
        <v>15</v>
      </c>
      <c r="J36" t="s">
        <v>2</v>
      </c>
      <c r="K36" s="4">
        <v>1.6674125</v>
      </c>
      <c r="L36">
        <v>9.335325000000001</v>
      </c>
    </row>
    <row r="37" spans="1:12" x14ac:dyDescent="0.2">
      <c r="A37">
        <v>4865</v>
      </c>
      <c r="B37" t="s">
        <v>142</v>
      </c>
      <c r="C37" t="s">
        <v>3</v>
      </c>
      <c r="D37" t="s">
        <v>145</v>
      </c>
      <c r="E37">
        <v>93</v>
      </c>
      <c r="H37">
        <v>4854</v>
      </c>
      <c r="I37" t="s">
        <v>15</v>
      </c>
      <c r="J37" t="s">
        <v>3</v>
      </c>
      <c r="K37" s="4">
        <v>1.560331E-2</v>
      </c>
      <c r="L37">
        <v>0.79720000000000002</v>
      </c>
    </row>
    <row r="38" spans="1:12" x14ac:dyDescent="0.2">
      <c r="A38">
        <v>4867</v>
      </c>
      <c r="B38" t="s">
        <v>142</v>
      </c>
      <c r="C38" t="s">
        <v>3</v>
      </c>
      <c r="D38" t="s">
        <v>145</v>
      </c>
      <c r="E38">
        <v>51</v>
      </c>
      <c r="H38">
        <v>4855</v>
      </c>
      <c r="I38" t="s">
        <v>15</v>
      </c>
      <c r="J38" t="s">
        <v>3</v>
      </c>
      <c r="K38" s="4">
        <v>1.6891</v>
      </c>
      <c r="L38">
        <v>6.8757625000000004</v>
      </c>
    </row>
    <row r="39" spans="1:12" x14ac:dyDescent="0.2">
      <c r="A39">
        <v>4868</v>
      </c>
      <c r="B39" t="s">
        <v>141</v>
      </c>
      <c r="C39" t="s">
        <v>2</v>
      </c>
      <c r="D39" t="s">
        <v>145</v>
      </c>
      <c r="E39">
        <v>105</v>
      </c>
      <c r="H39">
        <v>4856</v>
      </c>
      <c r="I39" t="s">
        <v>15</v>
      </c>
      <c r="J39" t="s">
        <v>2</v>
      </c>
      <c r="K39" s="4">
        <v>2.0259999999999998</v>
      </c>
      <c r="L39">
        <v>0.74656250000000002</v>
      </c>
    </row>
    <row r="40" spans="1:12" x14ac:dyDescent="0.2">
      <c r="A40">
        <v>4869</v>
      </c>
      <c r="B40" t="s">
        <v>141</v>
      </c>
      <c r="C40" t="s">
        <v>3</v>
      </c>
      <c r="D40" t="s">
        <v>145</v>
      </c>
      <c r="E40">
        <v>91</v>
      </c>
      <c r="H40">
        <v>4857</v>
      </c>
      <c r="I40" t="s">
        <v>15</v>
      </c>
      <c r="J40" t="s">
        <v>2</v>
      </c>
      <c r="K40" s="4">
        <v>1.3810625000000001</v>
      </c>
      <c r="L40">
        <v>2.1170374999999999</v>
      </c>
    </row>
    <row r="41" spans="1:12" x14ac:dyDescent="0.2">
      <c r="A41">
        <v>4870</v>
      </c>
      <c r="B41" t="s">
        <v>141</v>
      </c>
      <c r="C41" t="s">
        <v>3</v>
      </c>
      <c r="D41" t="s">
        <v>145</v>
      </c>
      <c r="E41">
        <v>148</v>
      </c>
      <c r="H41">
        <v>4858</v>
      </c>
      <c r="I41" t="s">
        <v>15</v>
      </c>
      <c r="J41" t="s">
        <v>3</v>
      </c>
      <c r="K41" s="4">
        <v>0.17155987</v>
      </c>
      <c r="L41">
        <v>11.126987499999998</v>
      </c>
    </row>
    <row r="42" spans="1:12" x14ac:dyDescent="0.2">
      <c r="A42">
        <v>4871</v>
      </c>
      <c r="B42" t="s">
        <v>141</v>
      </c>
      <c r="C42" t="s">
        <v>3</v>
      </c>
      <c r="D42" t="s">
        <v>145</v>
      </c>
      <c r="E42">
        <v>76</v>
      </c>
      <c r="H42">
        <v>4859</v>
      </c>
      <c r="I42" t="s">
        <v>15</v>
      </c>
      <c r="J42" t="s">
        <v>3</v>
      </c>
      <c r="K42" s="4">
        <v>0.50844999999999996</v>
      </c>
      <c r="L42">
        <v>1.3396499999999998</v>
      </c>
    </row>
    <row r="43" spans="1:12" x14ac:dyDescent="0.2">
      <c r="A43">
        <v>4873</v>
      </c>
      <c r="B43" t="s">
        <v>141</v>
      </c>
      <c r="C43" t="s">
        <v>3</v>
      </c>
      <c r="D43" t="s">
        <v>145</v>
      </c>
      <c r="E43">
        <v>41</v>
      </c>
      <c r="H43">
        <v>4860</v>
      </c>
      <c r="I43" t="s">
        <v>15</v>
      </c>
      <c r="J43" t="s">
        <v>2</v>
      </c>
      <c r="K43" s="4">
        <v>1.4538125</v>
      </c>
      <c r="L43">
        <v>0.17658750000000001</v>
      </c>
    </row>
    <row r="44" spans="1:12" x14ac:dyDescent="0.2">
      <c r="A44">
        <v>4874</v>
      </c>
      <c r="B44" t="s">
        <v>141</v>
      </c>
      <c r="C44" t="s">
        <v>2</v>
      </c>
      <c r="D44" t="s">
        <v>145</v>
      </c>
      <c r="E44">
        <v>103</v>
      </c>
      <c r="H44">
        <v>4861</v>
      </c>
      <c r="I44" t="s">
        <v>15</v>
      </c>
      <c r="J44" t="s">
        <v>2</v>
      </c>
      <c r="K44" s="4">
        <v>0.17155987</v>
      </c>
      <c r="L44">
        <v>2.5019125</v>
      </c>
    </row>
    <row r="45" spans="1:12" x14ac:dyDescent="0.2">
      <c r="A45">
        <v>4875</v>
      </c>
      <c r="B45" t="s">
        <v>141</v>
      </c>
      <c r="C45" t="s">
        <v>2</v>
      </c>
      <c r="D45" t="s">
        <v>145</v>
      </c>
      <c r="E45">
        <v>19</v>
      </c>
      <c r="H45">
        <v>4862</v>
      </c>
      <c r="I45" t="s">
        <v>15</v>
      </c>
      <c r="J45" t="s">
        <v>3</v>
      </c>
      <c r="K45" s="4">
        <v>2.2273999999999998</v>
      </c>
      <c r="L45">
        <v>4.6731499999999997</v>
      </c>
    </row>
    <row r="46" spans="1:12" x14ac:dyDescent="0.2">
      <c r="A46">
        <v>4876</v>
      </c>
      <c r="B46" t="s">
        <v>141</v>
      </c>
      <c r="C46" t="s">
        <v>3</v>
      </c>
      <c r="D46" t="s">
        <v>145</v>
      </c>
      <c r="E46">
        <v>11</v>
      </c>
      <c r="H46">
        <v>4863</v>
      </c>
      <c r="I46" t="s">
        <v>15</v>
      </c>
      <c r="J46" t="s">
        <v>3</v>
      </c>
      <c r="K46" s="4">
        <v>0.50738749999999999</v>
      </c>
    </row>
    <row r="47" spans="1:12" x14ac:dyDescent="0.2">
      <c r="A47">
        <v>4878</v>
      </c>
      <c r="B47" t="s">
        <v>141</v>
      </c>
      <c r="C47" t="s">
        <v>3</v>
      </c>
      <c r="D47" t="s">
        <v>145</v>
      </c>
      <c r="E47">
        <v>130</v>
      </c>
      <c r="H47">
        <v>4864</v>
      </c>
      <c r="I47" t="s">
        <v>15</v>
      </c>
      <c r="J47" t="s">
        <v>2</v>
      </c>
      <c r="K47" s="4">
        <v>0.42858750000000001</v>
      </c>
      <c r="L47">
        <v>4.5829250000000004</v>
      </c>
    </row>
    <row r="48" spans="1:12" x14ac:dyDescent="0.2">
      <c r="A48">
        <v>4880</v>
      </c>
      <c r="B48" t="s">
        <v>141</v>
      </c>
      <c r="C48" t="s">
        <v>2</v>
      </c>
      <c r="D48" t="s">
        <v>145</v>
      </c>
      <c r="E48">
        <v>133</v>
      </c>
      <c r="H48">
        <v>4865</v>
      </c>
      <c r="I48" t="s">
        <v>15</v>
      </c>
      <c r="J48" t="s">
        <v>3</v>
      </c>
      <c r="K48" s="4">
        <v>3.1642375</v>
      </c>
      <c r="L48">
        <v>22.129874999999998</v>
      </c>
    </row>
    <row r="49" spans="1:12" x14ac:dyDescent="0.2">
      <c r="A49">
        <v>4882</v>
      </c>
      <c r="B49" t="s">
        <v>141</v>
      </c>
      <c r="C49" t="s">
        <v>2</v>
      </c>
      <c r="D49" t="s">
        <v>145</v>
      </c>
      <c r="E49">
        <v>150</v>
      </c>
      <c r="H49">
        <v>4867</v>
      </c>
      <c r="I49" t="s">
        <v>15</v>
      </c>
      <c r="J49" t="s">
        <v>3</v>
      </c>
      <c r="K49" s="4">
        <v>2.0723124999999998</v>
      </c>
      <c r="L49">
        <v>0.89098749999999993</v>
      </c>
    </row>
    <row r="50" spans="1:12" x14ac:dyDescent="0.2">
      <c r="A50">
        <v>4883</v>
      </c>
      <c r="B50" t="s">
        <v>141</v>
      </c>
      <c r="C50" t="s">
        <v>3</v>
      </c>
      <c r="D50" t="s">
        <v>145</v>
      </c>
      <c r="E50">
        <v>138</v>
      </c>
      <c r="H50">
        <v>4868</v>
      </c>
      <c r="I50" t="s">
        <v>11</v>
      </c>
      <c r="J50" t="s">
        <v>2</v>
      </c>
      <c r="K50" s="4">
        <v>3.2941375000000002</v>
      </c>
      <c r="L50">
        <v>2.1552500000000001</v>
      </c>
    </row>
    <row r="51" spans="1:12" x14ac:dyDescent="0.2">
      <c r="A51">
        <v>4884</v>
      </c>
      <c r="B51" t="s">
        <v>141</v>
      </c>
      <c r="C51" t="s">
        <v>3</v>
      </c>
      <c r="D51" t="s">
        <v>145</v>
      </c>
      <c r="E51">
        <v>106</v>
      </c>
      <c r="H51">
        <v>4869</v>
      </c>
      <c r="I51" t="s">
        <v>11</v>
      </c>
      <c r="J51" t="s">
        <v>3</v>
      </c>
      <c r="K51" s="4">
        <v>0.41552499999999998</v>
      </c>
      <c r="L51">
        <v>2.6953874999999998</v>
      </c>
    </row>
    <row r="52" spans="1:12" x14ac:dyDescent="0.2">
      <c r="A52">
        <v>4886</v>
      </c>
      <c r="B52" t="s">
        <v>141</v>
      </c>
      <c r="C52" t="s">
        <v>2</v>
      </c>
      <c r="D52" t="s">
        <v>145</v>
      </c>
      <c r="E52">
        <v>52</v>
      </c>
      <c r="H52">
        <v>4870</v>
      </c>
      <c r="I52" t="s">
        <v>11</v>
      </c>
      <c r="J52" t="s">
        <v>3</v>
      </c>
      <c r="K52" s="4">
        <v>0.60229999999999995</v>
      </c>
      <c r="L52">
        <v>3.1105125000000005</v>
      </c>
    </row>
    <row r="53" spans="1:12" x14ac:dyDescent="0.2">
      <c r="A53">
        <v>4887</v>
      </c>
      <c r="B53" t="s">
        <v>141</v>
      </c>
      <c r="C53" t="s">
        <v>3</v>
      </c>
      <c r="D53" t="s">
        <v>145</v>
      </c>
      <c r="E53">
        <v>32</v>
      </c>
      <c r="H53">
        <v>4871</v>
      </c>
      <c r="I53" t="s">
        <v>11</v>
      </c>
      <c r="J53" t="s">
        <v>3</v>
      </c>
      <c r="K53" s="4">
        <v>1.6441874999999999</v>
      </c>
      <c r="L53">
        <v>4.2279249999999999</v>
      </c>
    </row>
    <row r="54" spans="1:12" x14ac:dyDescent="0.2">
      <c r="A54">
        <v>4888</v>
      </c>
      <c r="B54" t="s">
        <v>141</v>
      </c>
      <c r="C54" t="s">
        <v>2</v>
      </c>
      <c r="D54" t="s">
        <v>145</v>
      </c>
      <c r="E54">
        <v>72</v>
      </c>
      <c r="H54">
        <v>4873</v>
      </c>
      <c r="I54" t="s">
        <v>11</v>
      </c>
      <c r="J54" t="s">
        <v>2</v>
      </c>
      <c r="K54" s="4">
        <v>6.2610000000000001</v>
      </c>
      <c r="L54">
        <v>11.64325</v>
      </c>
    </row>
    <row r="55" spans="1:12" x14ac:dyDescent="0.2">
      <c r="A55">
        <v>4890</v>
      </c>
      <c r="B55" t="s">
        <v>141</v>
      </c>
      <c r="C55" t="s">
        <v>2</v>
      </c>
      <c r="D55" t="s">
        <v>145</v>
      </c>
      <c r="E55">
        <v>4</v>
      </c>
      <c r="H55">
        <v>4874</v>
      </c>
      <c r="I55" t="s">
        <v>11</v>
      </c>
      <c r="J55" t="s">
        <v>2</v>
      </c>
      <c r="K55" s="4">
        <v>0.72113749999999999</v>
      </c>
      <c r="L55">
        <v>1.697675</v>
      </c>
    </row>
    <row r="56" spans="1:12" x14ac:dyDescent="0.2">
      <c r="A56">
        <v>4891</v>
      </c>
      <c r="B56" t="s">
        <v>141</v>
      </c>
      <c r="C56" t="s">
        <v>2</v>
      </c>
      <c r="D56" t="s">
        <v>145</v>
      </c>
      <c r="E56">
        <v>88</v>
      </c>
      <c r="H56">
        <v>4875</v>
      </c>
      <c r="I56" t="s">
        <v>11</v>
      </c>
      <c r="J56" t="s">
        <v>2</v>
      </c>
      <c r="K56" s="4">
        <v>1.0940375</v>
      </c>
      <c r="L56">
        <v>0.23995000000000002</v>
      </c>
    </row>
    <row r="57" spans="1:12" x14ac:dyDescent="0.2">
      <c r="A57">
        <v>4892</v>
      </c>
      <c r="B57" t="s">
        <v>141</v>
      </c>
      <c r="C57" t="s">
        <v>3</v>
      </c>
      <c r="D57" t="s">
        <v>145</v>
      </c>
      <c r="E57">
        <v>136</v>
      </c>
      <c r="H57">
        <v>4876</v>
      </c>
      <c r="I57" t="s">
        <v>11</v>
      </c>
      <c r="J57" t="s">
        <v>3</v>
      </c>
      <c r="K57" s="4">
        <v>0.11935</v>
      </c>
      <c r="L57">
        <v>7.7678875000000005</v>
      </c>
    </row>
    <row r="58" spans="1:12" x14ac:dyDescent="0.2">
      <c r="A58">
        <v>4894</v>
      </c>
      <c r="B58" t="s">
        <v>142</v>
      </c>
      <c r="C58" t="s">
        <v>2</v>
      </c>
      <c r="D58" t="s">
        <v>145</v>
      </c>
      <c r="E58">
        <v>107</v>
      </c>
      <c r="H58">
        <v>4877</v>
      </c>
      <c r="I58" t="s">
        <v>11</v>
      </c>
    </row>
    <row r="59" spans="1:12" x14ac:dyDescent="0.2">
      <c r="A59">
        <v>4895</v>
      </c>
      <c r="B59" t="s">
        <v>142</v>
      </c>
      <c r="C59" t="s">
        <v>3</v>
      </c>
      <c r="D59" t="s">
        <v>145</v>
      </c>
      <c r="E59">
        <v>59</v>
      </c>
      <c r="H59">
        <v>4878</v>
      </c>
      <c r="I59" t="s">
        <v>11</v>
      </c>
      <c r="J59" t="s">
        <v>3</v>
      </c>
      <c r="K59" s="4">
        <v>3.1509499999999999</v>
      </c>
      <c r="L59">
        <v>2.1505874999999999</v>
      </c>
    </row>
    <row r="60" spans="1:12" x14ac:dyDescent="0.2">
      <c r="A60">
        <v>4898</v>
      </c>
      <c r="B60" t="s">
        <v>142</v>
      </c>
      <c r="C60" t="s">
        <v>2</v>
      </c>
      <c r="D60" t="s">
        <v>145</v>
      </c>
      <c r="E60">
        <v>158</v>
      </c>
      <c r="H60">
        <v>4879</v>
      </c>
      <c r="I60" t="s">
        <v>11</v>
      </c>
    </row>
    <row r="61" spans="1:12" x14ac:dyDescent="0.2">
      <c r="A61">
        <v>4899</v>
      </c>
      <c r="B61" t="s">
        <v>142</v>
      </c>
      <c r="C61" t="s">
        <v>2</v>
      </c>
      <c r="D61" t="s">
        <v>145</v>
      </c>
      <c r="E61">
        <v>144</v>
      </c>
      <c r="H61">
        <v>4880</v>
      </c>
      <c r="I61" t="s">
        <v>11</v>
      </c>
      <c r="J61" t="s">
        <v>2</v>
      </c>
      <c r="K61" s="4">
        <v>0.63824999999999998</v>
      </c>
      <c r="L61">
        <v>1.7916875000000001</v>
      </c>
    </row>
    <row r="62" spans="1:12" x14ac:dyDescent="0.2">
      <c r="A62">
        <v>4900</v>
      </c>
      <c r="B62" t="s">
        <v>142</v>
      </c>
      <c r="C62" t="s">
        <v>2</v>
      </c>
      <c r="D62" t="s">
        <v>145</v>
      </c>
      <c r="E62">
        <v>61</v>
      </c>
      <c r="H62">
        <v>4881</v>
      </c>
      <c r="I62" t="s">
        <v>11</v>
      </c>
      <c r="J62" t="s">
        <v>3</v>
      </c>
      <c r="K62" s="4">
        <v>1.2331125000000001</v>
      </c>
    </row>
    <row r="63" spans="1:12" x14ac:dyDescent="0.2">
      <c r="A63">
        <v>4901</v>
      </c>
      <c r="B63" t="s">
        <v>142</v>
      </c>
      <c r="C63" t="s">
        <v>2</v>
      </c>
      <c r="D63" t="s">
        <v>145</v>
      </c>
      <c r="E63">
        <v>110</v>
      </c>
      <c r="H63">
        <v>4882</v>
      </c>
      <c r="I63" t="s">
        <v>11</v>
      </c>
      <c r="J63" t="s">
        <v>2</v>
      </c>
      <c r="K63" s="4">
        <v>1.1765000000000001</v>
      </c>
      <c r="L63">
        <v>3.0166624999999998</v>
      </c>
    </row>
    <row r="64" spans="1:12" x14ac:dyDescent="0.2">
      <c r="A64">
        <v>4902</v>
      </c>
      <c r="B64" t="s">
        <v>142</v>
      </c>
      <c r="C64" t="s">
        <v>3</v>
      </c>
      <c r="D64" t="s">
        <v>145</v>
      </c>
      <c r="E64">
        <v>141</v>
      </c>
      <c r="H64">
        <v>4883</v>
      </c>
      <c r="I64" t="s">
        <v>11</v>
      </c>
      <c r="J64" t="s">
        <v>3</v>
      </c>
      <c r="K64" s="4">
        <v>0.37175000000000002</v>
      </c>
      <c r="L64">
        <v>3.7442875</v>
      </c>
    </row>
    <row r="65" spans="1:12" x14ac:dyDescent="0.2">
      <c r="A65">
        <v>4903</v>
      </c>
      <c r="B65" t="s">
        <v>142</v>
      </c>
      <c r="C65" t="s">
        <v>3</v>
      </c>
      <c r="D65" t="s">
        <v>145</v>
      </c>
      <c r="E65">
        <v>128</v>
      </c>
      <c r="H65">
        <v>4884</v>
      </c>
      <c r="I65" t="s">
        <v>11</v>
      </c>
      <c r="J65" t="s">
        <v>3</v>
      </c>
      <c r="K65" s="4">
        <v>1.0259</v>
      </c>
      <c r="L65">
        <v>2.6934374999999999</v>
      </c>
    </row>
    <row r="66" spans="1:12" x14ac:dyDescent="0.2">
      <c r="A66">
        <v>4904</v>
      </c>
      <c r="B66" t="s">
        <v>142</v>
      </c>
      <c r="C66" t="s">
        <v>2</v>
      </c>
      <c r="D66" t="s">
        <v>145</v>
      </c>
      <c r="E66">
        <v>131</v>
      </c>
      <c r="H66">
        <v>4885</v>
      </c>
      <c r="I66" t="s">
        <v>11</v>
      </c>
      <c r="J66" t="s">
        <v>3</v>
      </c>
      <c r="K66" s="4">
        <v>2.3387375000000001</v>
      </c>
    </row>
    <row r="67" spans="1:12" x14ac:dyDescent="0.2">
      <c r="A67">
        <v>4905</v>
      </c>
      <c r="B67" t="s">
        <v>142</v>
      </c>
      <c r="C67" t="s">
        <v>3</v>
      </c>
      <c r="D67" t="s">
        <v>145</v>
      </c>
      <c r="E67">
        <v>3</v>
      </c>
      <c r="H67">
        <v>4886</v>
      </c>
      <c r="I67" t="s">
        <v>11</v>
      </c>
      <c r="J67" t="s">
        <v>2</v>
      </c>
      <c r="K67" s="4">
        <v>0.57426250000000001</v>
      </c>
      <c r="L67">
        <v>0.91468749999999999</v>
      </c>
    </row>
    <row r="68" spans="1:12" x14ac:dyDescent="0.2">
      <c r="A68">
        <v>4908</v>
      </c>
      <c r="B68" t="s">
        <v>142</v>
      </c>
      <c r="C68" t="s">
        <v>3</v>
      </c>
      <c r="D68" t="s">
        <v>145</v>
      </c>
      <c r="E68">
        <v>137</v>
      </c>
      <c r="H68">
        <v>4887</v>
      </c>
      <c r="I68" t="s">
        <v>11</v>
      </c>
      <c r="J68" t="s">
        <v>2</v>
      </c>
      <c r="K68" s="4">
        <v>1.5440624999999999</v>
      </c>
      <c r="L68">
        <v>1.8440124999999998</v>
      </c>
    </row>
    <row r="69" spans="1:12" x14ac:dyDescent="0.2">
      <c r="A69">
        <v>4909</v>
      </c>
      <c r="B69" t="s">
        <v>142</v>
      </c>
      <c r="C69" t="s">
        <v>3</v>
      </c>
      <c r="D69" t="s">
        <v>145</v>
      </c>
      <c r="E69">
        <v>92</v>
      </c>
      <c r="H69">
        <v>4888</v>
      </c>
      <c r="I69" t="s">
        <v>11</v>
      </c>
      <c r="J69" t="s">
        <v>2</v>
      </c>
      <c r="K69" s="4">
        <v>0.98585</v>
      </c>
      <c r="L69">
        <v>0.56210000000000004</v>
      </c>
    </row>
    <row r="70" spans="1:12" x14ac:dyDescent="0.2">
      <c r="A70">
        <v>4910</v>
      </c>
      <c r="B70" t="s">
        <v>142</v>
      </c>
      <c r="C70" t="s">
        <v>3</v>
      </c>
      <c r="D70" t="s">
        <v>145</v>
      </c>
      <c r="E70">
        <v>82</v>
      </c>
      <c r="H70">
        <v>4890</v>
      </c>
      <c r="I70" t="s">
        <v>11</v>
      </c>
      <c r="J70" t="s">
        <v>2</v>
      </c>
      <c r="K70" s="4">
        <v>1.3312999999999999</v>
      </c>
      <c r="L70">
        <v>1.6642375000000003</v>
      </c>
    </row>
    <row r="71" spans="1:12" x14ac:dyDescent="0.2">
      <c r="A71">
        <v>4911</v>
      </c>
      <c r="B71" t="s">
        <v>142</v>
      </c>
      <c r="C71" t="s">
        <v>2</v>
      </c>
      <c r="D71" t="s">
        <v>145</v>
      </c>
      <c r="E71">
        <v>113</v>
      </c>
      <c r="H71">
        <v>4891</v>
      </c>
      <c r="I71" t="s">
        <v>11</v>
      </c>
      <c r="J71" t="s">
        <v>2</v>
      </c>
      <c r="K71" s="4">
        <v>0.53300000000000003</v>
      </c>
      <c r="L71">
        <v>1.20295</v>
      </c>
    </row>
    <row r="72" spans="1:12" x14ac:dyDescent="0.2">
      <c r="A72">
        <v>4912</v>
      </c>
      <c r="B72" t="s">
        <v>142</v>
      </c>
      <c r="C72" t="s">
        <v>3</v>
      </c>
      <c r="D72" t="s">
        <v>145</v>
      </c>
      <c r="E72">
        <v>115</v>
      </c>
      <c r="H72">
        <v>4892</v>
      </c>
      <c r="I72" t="s">
        <v>11</v>
      </c>
      <c r="J72" t="s">
        <v>3</v>
      </c>
      <c r="K72" s="4">
        <v>1.8333625</v>
      </c>
      <c r="L72">
        <v>6.2869124999999997</v>
      </c>
    </row>
    <row r="73" spans="1:12" x14ac:dyDescent="0.2">
      <c r="A73">
        <v>4913</v>
      </c>
      <c r="B73" t="s">
        <v>142</v>
      </c>
      <c r="C73" t="s">
        <v>2</v>
      </c>
      <c r="D73" t="s">
        <v>145</v>
      </c>
      <c r="E73">
        <v>66</v>
      </c>
      <c r="H73">
        <v>4893</v>
      </c>
      <c r="I73" t="s">
        <v>15</v>
      </c>
      <c r="J73" t="s">
        <v>3</v>
      </c>
      <c r="K73" s="4">
        <v>0.17155987</v>
      </c>
    </row>
    <row r="74" spans="1:12" x14ac:dyDescent="0.2">
      <c r="A74">
        <v>4915</v>
      </c>
      <c r="B74" t="s">
        <v>142</v>
      </c>
      <c r="C74" t="s">
        <v>2</v>
      </c>
      <c r="D74" t="s">
        <v>145</v>
      </c>
      <c r="E74">
        <v>80</v>
      </c>
      <c r="H74">
        <v>4894</v>
      </c>
      <c r="I74" t="s">
        <v>15</v>
      </c>
      <c r="J74" t="s">
        <v>2</v>
      </c>
      <c r="K74" s="4">
        <v>0.29348750000000001</v>
      </c>
      <c r="L74">
        <v>1.6728375000000002</v>
      </c>
    </row>
    <row r="75" spans="1:12" x14ac:dyDescent="0.2">
      <c r="A75" s="4"/>
      <c r="B75" s="4"/>
      <c r="C75" s="4"/>
      <c r="D75" s="4"/>
      <c r="E75" s="4"/>
      <c r="H75">
        <v>4895</v>
      </c>
      <c r="I75" t="s">
        <v>15</v>
      </c>
      <c r="J75" t="s">
        <v>3</v>
      </c>
      <c r="K75" s="4">
        <v>0.53452500000000003</v>
      </c>
      <c r="L75">
        <v>1.8461749999999999</v>
      </c>
    </row>
    <row r="76" spans="1:12" x14ac:dyDescent="0.2">
      <c r="A76" s="4"/>
      <c r="B76" s="4"/>
      <c r="C76" s="4"/>
      <c r="D76" s="4"/>
      <c r="E76" s="4"/>
      <c r="H76">
        <v>4896</v>
      </c>
      <c r="I76" t="s">
        <v>15</v>
      </c>
      <c r="J76" t="s">
        <v>2</v>
      </c>
    </row>
    <row r="77" spans="1:12" x14ac:dyDescent="0.2">
      <c r="A77" s="4"/>
      <c r="B77" s="4"/>
      <c r="C77" s="4"/>
      <c r="D77" s="4"/>
      <c r="E77" s="4"/>
      <c r="H77">
        <v>4897</v>
      </c>
      <c r="I77" t="s">
        <v>15</v>
      </c>
      <c r="K77" s="4">
        <v>1.3603749999999999</v>
      </c>
    </row>
    <row r="78" spans="1:12" x14ac:dyDescent="0.2">
      <c r="A78" s="4"/>
      <c r="B78" s="4"/>
      <c r="C78" s="4"/>
      <c r="D78" s="4"/>
      <c r="E78" s="4"/>
      <c r="H78">
        <v>4898</v>
      </c>
      <c r="I78" t="s">
        <v>15</v>
      </c>
      <c r="J78" t="s">
        <v>2</v>
      </c>
      <c r="K78" s="4">
        <v>0.33718749999999997</v>
      </c>
      <c r="L78">
        <v>2.0110375</v>
      </c>
    </row>
    <row r="79" spans="1:12" x14ac:dyDescent="0.2">
      <c r="A79" s="4"/>
      <c r="B79" s="4"/>
      <c r="C79" s="4"/>
      <c r="D79" s="4"/>
      <c r="E79" s="4"/>
      <c r="H79">
        <v>4899</v>
      </c>
      <c r="I79" t="s">
        <v>15</v>
      </c>
      <c r="J79" t="s">
        <v>2</v>
      </c>
      <c r="K79" s="4">
        <v>0.41457500000000003</v>
      </c>
      <c r="L79">
        <v>1.0325374999999999</v>
      </c>
    </row>
    <row r="80" spans="1:12" x14ac:dyDescent="0.2">
      <c r="A80" s="4"/>
      <c r="B80" s="4"/>
      <c r="C80" s="4"/>
      <c r="D80" s="4"/>
      <c r="E80" s="4"/>
      <c r="H80">
        <v>4900</v>
      </c>
      <c r="I80" t="s">
        <v>15</v>
      </c>
      <c r="J80" t="s">
        <v>2</v>
      </c>
      <c r="K80" s="4">
        <v>1.2679875</v>
      </c>
      <c r="L80">
        <v>7.9100875000000004</v>
      </c>
    </row>
    <row r="81" spans="1:12" x14ac:dyDescent="0.2">
      <c r="A81" s="4"/>
      <c r="B81" s="4"/>
      <c r="C81" s="4"/>
      <c r="D81" s="4"/>
      <c r="E81" s="4"/>
      <c r="H81">
        <v>4901</v>
      </c>
      <c r="I81" t="s">
        <v>15</v>
      </c>
      <c r="J81" t="s">
        <v>2</v>
      </c>
      <c r="K81" s="4">
        <v>0.46891250000000001</v>
      </c>
      <c r="L81">
        <v>4.9053500000000003</v>
      </c>
    </row>
    <row r="82" spans="1:12" x14ac:dyDescent="0.2">
      <c r="A82" s="4"/>
      <c r="B82" s="4"/>
      <c r="C82" s="4"/>
      <c r="D82" s="4"/>
      <c r="E82" s="4"/>
      <c r="H82">
        <v>4902</v>
      </c>
      <c r="I82" t="s">
        <v>15</v>
      </c>
      <c r="J82" t="s">
        <v>3</v>
      </c>
      <c r="K82" s="4">
        <v>0.56967500000000004</v>
      </c>
      <c r="L82">
        <v>26.293262499999997</v>
      </c>
    </row>
    <row r="83" spans="1:12" x14ac:dyDescent="0.2">
      <c r="A83" s="4"/>
      <c r="B83" s="4"/>
      <c r="C83" s="4"/>
      <c r="D83" s="4"/>
      <c r="E83" s="4"/>
      <c r="H83">
        <v>4903</v>
      </c>
      <c r="I83" t="s">
        <v>15</v>
      </c>
      <c r="J83" t="s">
        <v>3</v>
      </c>
      <c r="K83" s="4">
        <v>0.18291250000000001</v>
      </c>
      <c r="L83">
        <v>0.55052499999999993</v>
      </c>
    </row>
    <row r="84" spans="1:12" x14ac:dyDescent="0.2">
      <c r="A84" s="4"/>
      <c r="B84" s="4"/>
      <c r="C84" s="4"/>
      <c r="D84" s="4"/>
      <c r="E84" s="4"/>
      <c r="H84">
        <v>4904</v>
      </c>
      <c r="I84" t="s">
        <v>15</v>
      </c>
      <c r="J84" t="s">
        <v>2</v>
      </c>
      <c r="K84" s="4">
        <v>1.2681374999999999</v>
      </c>
      <c r="L84">
        <v>3.3655249999999999</v>
      </c>
    </row>
    <row r="85" spans="1:12" x14ac:dyDescent="0.2">
      <c r="A85" s="4"/>
      <c r="B85" s="4"/>
      <c r="C85" s="4"/>
      <c r="D85" s="4"/>
      <c r="E85" s="4"/>
      <c r="H85">
        <v>4905</v>
      </c>
      <c r="I85" t="s">
        <v>15</v>
      </c>
      <c r="J85" t="s">
        <v>3</v>
      </c>
      <c r="K85" s="4">
        <v>0.50778749999999995</v>
      </c>
      <c r="L85">
        <v>4.3966000000000003</v>
      </c>
    </row>
    <row r="86" spans="1:12" x14ac:dyDescent="0.2">
      <c r="A86" s="4"/>
      <c r="B86" s="4"/>
      <c r="C86" s="4"/>
      <c r="D86" s="4"/>
      <c r="E86" s="4"/>
      <c r="H86">
        <v>4906</v>
      </c>
      <c r="I86" t="s">
        <v>15</v>
      </c>
      <c r="J86" t="s">
        <v>3</v>
      </c>
      <c r="K86" s="4">
        <v>0.63822500000000004</v>
      </c>
    </row>
    <row r="87" spans="1:12" x14ac:dyDescent="0.2">
      <c r="H87">
        <v>4908</v>
      </c>
      <c r="I87" t="s">
        <v>15</v>
      </c>
      <c r="J87" t="s">
        <v>3</v>
      </c>
      <c r="K87" s="4">
        <v>0.91059999999999997</v>
      </c>
      <c r="L87">
        <v>5.3396999999999997</v>
      </c>
    </row>
    <row r="88" spans="1:12" x14ac:dyDescent="0.2">
      <c r="H88">
        <v>4909</v>
      </c>
      <c r="I88" t="s">
        <v>15</v>
      </c>
      <c r="J88" t="s">
        <v>3</v>
      </c>
      <c r="K88" s="4">
        <v>0.99212500000000003</v>
      </c>
      <c r="L88">
        <v>1.4502124999999999</v>
      </c>
    </row>
    <row r="89" spans="1:12" x14ac:dyDescent="0.2">
      <c r="H89">
        <v>4910</v>
      </c>
      <c r="I89" t="s">
        <v>15</v>
      </c>
      <c r="J89" t="s">
        <v>3</v>
      </c>
      <c r="K89" s="4">
        <v>1.9942375000000001</v>
      </c>
      <c r="L89">
        <v>4.4890374999999993</v>
      </c>
    </row>
    <row r="90" spans="1:12" x14ac:dyDescent="0.2">
      <c r="H90">
        <v>4911</v>
      </c>
      <c r="I90" t="s">
        <v>15</v>
      </c>
      <c r="J90" t="s">
        <v>2</v>
      </c>
      <c r="K90" s="4">
        <v>0.92826249999999999</v>
      </c>
      <c r="L90">
        <v>2.3250000000000002</v>
      </c>
    </row>
    <row r="91" spans="1:12" x14ac:dyDescent="0.2">
      <c r="H91">
        <v>4912</v>
      </c>
      <c r="I91" t="s">
        <v>15</v>
      </c>
      <c r="J91" t="s">
        <v>3</v>
      </c>
      <c r="K91" s="4">
        <v>3.518675</v>
      </c>
      <c r="L91">
        <v>3.2788375000000003</v>
      </c>
    </row>
    <row r="92" spans="1:12" x14ac:dyDescent="0.2">
      <c r="H92">
        <v>4913</v>
      </c>
      <c r="I92" t="s">
        <v>15</v>
      </c>
      <c r="J92" t="s">
        <v>2</v>
      </c>
      <c r="K92" s="4">
        <v>0.3551125</v>
      </c>
      <c r="L92">
        <v>2.4497874999999998</v>
      </c>
    </row>
    <row r="93" spans="1:12" x14ac:dyDescent="0.2">
      <c r="H93">
        <v>4915</v>
      </c>
      <c r="I93" t="s">
        <v>15</v>
      </c>
      <c r="J93" t="s">
        <v>2</v>
      </c>
      <c r="K93" s="4">
        <v>0.33337499999999998</v>
      </c>
      <c r="L93">
        <v>1.7967875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BlerdData</vt:lpstr>
      <vt:lpstr>Sheet2</vt:lpstr>
      <vt:lpstr>MetaboliteAvgs</vt:lpstr>
      <vt:lpstr>Lining up CORT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Haussmann</dc:creator>
  <cp:lastModifiedBy>Ben Haussmann</cp:lastModifiedBy>
  <dcterms:created xsi:type="dcterms:W3CDTF">2025-06-08T18:38:16Z</dcterms:created>
  <dcterms:modified xsi:type="dcterms:W3CDTF">2026-05-29T20:11:28Z</dcterms:modified>
</cp:coreProperties>
</file>